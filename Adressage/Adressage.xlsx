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/>
  <mc:AlternateContent xmlns:mc="http://schemas.openxmlformats.org/markup-compatibility/2006">
    <mc:Choice Requires="x15">
      <x15ac:absPath xmlns:x15ac="http://schemas.microsoft.com/office/spreadsheetml/2010/11/ac" url="C:\Users\Tanguy Lhinares\Desktop\projet routage\"/>
    </mc:Choice>
  </mc:AlternateContent>
  <xr:revisionPtr revIDLastSave="0" documentId="13_ncr:1_{09D8FA3F-7262-4AA6-B6E4-967CADFC10A5}" xr6:coauthVersionLast="45" xr6:coauthVersionMax="45" xr10:uidLastSave="{00000000-0000-0000-0000-000000000000}"/>
  <bookViews>
    <workbookView xWindow="-28920" yWindow="-120" windowWidth="29040" windowHeight="1584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68" i="1" l="1"/>
  <c r="I68" i="1"/>
  <c r="H68" i="1"/>
  <c r="E68" i="1"/>
  <c r="C52" i="1" l="1"/>
  <c r="E52" i="1"/>
  <c r="F52" i="1"/>
  <c r="H52" i="1"/>
  <c r="J52" i="1" s="1"/>
  <c r="I52" i="1"/>
  <c r="C72" i="1" l="1"/>
  <c r="E72" i="1"/>
  <c r="F72" i="1"/>
  <c r="H72" i="1"/>
  <c r="J72" i="1" s="1"/>
  <c r="I72" i="1"/>
  <c r="C73" i="1"/>
  <c r="E73" i="1"/>
  <c r="F73" i="1"/>
  <c r="H73" i="1"/>
  <c r="J73" i="1" s="1"/>
  <c r="I73" i="1"/>
  <c r="C69" i="1"/>
  <c r="E69" i="1"/>
  <c r="F69" i="1"/>
  <c r="H69" i="1"/>
  <c r="J69" i="1" s="1"/>
  <c r="I69" i="1"/>
  <c r="C68" i="1"/>
  <c r="F68" i="1"/>
  <c r="C70" i="1"/>
  <c r="E70" i="1"/>
  <c r="F70" i="1"/>
  <c r="H70" i="1"/>
  <c r="J70" i="1" s="1"/>
  <c r="I70" i="1"/>
  <c r="C71" i="1"/>
  <c r="E71" i="1"/>
  <c r="F71" i="1"/>
  <c r="H71" i="1"/>
  <c r="J71" i="1" s="1"/>
  <c r="I71" i="1"/>
  <c r="C86" i="1"/>
  <c r="E86" i="1"/>
  <c r="F86" i="1"/>
  <c r="H86" i="1"/>
  <c r="J86" i="1" s="1"/>
  <c r="I86" i="1"/>
  <c r="E74" i="1" l="1"/>
  <c r="E75" i="1"/>
  <c r="E76" i="1"/>
  <c r="E77" i="1"/>
  <c r="E78" i="1"/>
  <c r="E79" i="1"/>
  <c r="E80" i="1"/>
  <c r="E81" i="1"/>
  <c r="E82" i="1"/>
  <c r="E83" i="1"/>
  <c r="E84" i="1"/>
  <c r="E85" i="1"/>
  <c r="E87" i="1"/>
  <c r="E88" i="1"/>
  <c r="E89" i="1"/>
  <c r="E90" i="1"/>
  <c r="E91" i="1"/>
  <c r="E92" i="1"/>
  <c r="E93" i="1"/>
  <c r="E94" i="1"/>
  <c r="E95" i="1"/>
  <c r="E96" i="1"/>
  <c r="H74" i="1"/>
  <c r="J74" i="1" s="1"/>
  <c r="I74" i="1"/>
  <c r="H75" i="1"/>
  <c r="J75" i="1" s="1"/>
  <c r="I75" i="1"/>
  <c r="H76" i="1"/>
  <c r="J76" i="1" s="1"/>
  <c r="I76" i="1"/>
  <c r="H77" i="1"/>
  <c r="J77" i="1" s="1"/>
  <c r="I77" i="1"/>
  <c r="H78" i="1"/>
  <c r="J78" i="1" s="1"/>
  <c r="I78" i="1"/>
  <c r="H79" i="1"/>
  <c r="J79" i="1" s="1"/>
  <c r="I79" i="1"/>
  <c r="H80" i="1"/>
  <c r="J80" i="1" s="1"/>
  <c r="I80" i="1"/>
  <c r="H81" i="1"/>
  <c r="J81" i="1" s="1"/>
  <c r="I81" i="1"/>
  <c r="H82" i="1"/>
  <c r="J82" i="1" s="1"/>
  <c r="I82" i="1"/>
  <c r="H83" i="1"/>
  <c r="J83" i="1" s="1"/>
  <c r="I83" i="1"/>
  <c r="H84" i="1"/>
  <c r="J84" i="1" s="1"/>
  <c r="I84" i="1"/>
  <c r="H85" i="1"/>
  <c r="J85" i="1" s="1"/>
  <c r="I85" i="1"/>
  <c r="H87" i="1"/>
  <c r="J87" i="1" s="1"/>
  <c r="I87" i="1"/>
  <c r="H88" i="1"/>
  <c r="J88" i="1" s="1"/>
  <c r="I88" i="1"/>
  <c r="H89" i="1"/>
  <c r="J89" i="1" s="1"/>
  <c r="I89" i="1"/>
  <c r="H90" i="1"/>
  <c r="J90" i="1" s="1"/>
  <c r="I90" i="1"/>
  <c r="H91" i="1"/>
  <c r="J91" i="1" s="1"/>
  <c r="I91" i="1"/>
  <c r="H92" i="1"/>
  <c r="J92" i="1" s="1"/>
  <c r="I92" i="1"/>
  <c r="H93" i="1"/>
  <c r="J93" i="1" s="1"/>
  <c r="I93" i="1"/>
  <c r="H94" i="1"/>
  <c r="J94" i="1" s="1"/>
  <c r="I94" i="1"/>
  <c r="H95" i="1"/>
  <c r="J95" i="1" s="1"/>
  <c r="I95" i="1"/>
  <c r="H96" i="1"/>
  <c r="J96" i="1" s="1"/>
  <c r="I96" i="1"/>
  <c r="E59" i="1"/>
  <c r="E60" i="1"/>
  <c r="E61" i="1"/>
  <c r="E62" i="1"/>
  <c r="H59" i="1"/>
  <c r="J59" i="1" s="1"/>
  <c r="I59" i="1"/>
  <c r="H60" i="1"/>
  <c r="J60" i="1" s="1"/>
  <c r="I60" i="1"/>
  <c r="H61" i="1"/>
  <c r="J61" i="1" s="1"/>
  <c r="I61" i="1"/>
  <c r="H62" i="1"/>
  <c r="J62" i="1" s="1"/>
  <c r="I62" i="1"/>
  <c r="I58" i="1"/>
  <c r="H58" i="1"/>
  <c r="J58" i="1" s="1"/>
  <c r="E58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H33" i="1"/>
  <c r="J33" i="1" s="1"/>
  <c r="H34" i="1"/>
  <c r="J34" i="1" s="1"/>
  <c r="H35" i="1"/>
  <c r="J35" i="1" s="1"/>
  <c r="H36" i="1"/>
  <c r="J36" i="1" s="1"/>
  <c r="H37" i="1"/>
  <c r="J37" i="1" s="1"/>
  <c r="H38" i="1"/>
  <c r="J38" i="1" s="1"/>
  <c r="H39" i="1"/>
  <c r="J39" i="1" s="1"/>
  <c r="H40" i="1"/>
  <c r="J40" i="1" s="1"/>
  <c r="H41" i="1"/>
  <c r="J41" i="1" s="1"/>
  <c r="H42" i="1"/>
  <c r="J42" i="1" s="1"/>
  <c r="H43" i="1"/>
  <c r="J43" i="1" s="1"/>
  <c r="H44" i="1"/>
  <c r="J44" i="1" s="1"/>
  <c r="H45" i="1"/>
  <c r="J45" i="1" s="1"/>
  <c r="H46" i="1"/>
  <c r="J46" i="1" s="1"/>
  <c r="H47" i="1"/>
  <c r="J47" i="1" s="1"/>
  <c r="H48" i="1"/>
  <c r="J48" i="1" s="1"/>
  <c r="H49" i="1"/>
  <c r="J49" i="1" s="1"/>
  <c r="H50" i="1"/>
  <c r="J50" i="1" s="1"/>
  <c r="H51" i="1"/>
  <c r="J51" i="1" s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I32" i="1"/>
  <c r="H32" i="1"/>
  <c r="J32" i="1" s="1"/>
  <c r="E32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6" i="1"/>
  <c r="H7" i="1"/>
  <c r="J7" i="1" s="1"/>
  <c r="H8" i="1"/>
  <c r="J8" i="1" s="1"/>
  <c r="H9" i="1"/>
  <c r="J9" i="1" s="1"/>
  <c r="H10" i="1"/>
  <c r="J10" i="1" s="1"/>
  <c r="H11" i="1"/>
  <c r="J11" i="1" s="1"/>
  <c r="H12" i="1"/>
  <c r="J12" i="1" s="1"/>
  <c r="H13" i="1"/>
  <c r="J13" i="1" s="1"/>
  <c r="H14" i="1"/>
  <c r="J14" i="1" s="1"/>
  <c r="H15" i="1"/>
  <c r="J15" i="1" s="1"/>
  <c r="H16" i="1"/>
  <c r="J16" i="1" s="1"/>
  <c r="H17" i="1"/>
  <c r="J17" i="1" s="1"/>
  <c r="H18" i="1"/>
  <c r="J18" i="1" s="1"/>
  <c r="H19" i="1"/>
  <c r="J19" i="1" s="1"/>
  <c r="H20" i="1"/>
  <c r="J20" i="1" s="1"/>
  <c r="H21" i="1"/>
  <c r="J21" i="1" s="1"/>
  <c r="H22" i="1"/>
  <c r="J22" i="1" s="1"/>
  <c r="H23" i="1"/>
  <c r="J23" i="1" s="1"/>
  <c r="H24" i="1"/>
  <c r="J24" i="1" s="1"/>
  <c r="H25" i="1"/>
  <c r="J25" i="1" s="1"/>
  <c r="H26" i="1"/>
  <c r="J26" i="1" s="1"/>
  <c r="H6" i="1"/>
  <c r="J6" i="1" s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6" i="1"/>
  <c r="F62" i="1"/>
  <c r="F61" i="1"/>
  <c r="F60" i="1"/>
  <c r="C60" i="1"/>
  <c r="F48" i="1"/>
  <c r="C48" i="1"/>
  <c r="F47" i="1"/>
  <c r="C47" i="1"/>
  <c r="F46" i="1"/>
  <c r="C46" i="1"/>
  <c r="C20" i="1"/>
  <c r="C21" i="1"/>
  <c r="C22" i="1"/>
  <c r="F21" i="1"/>
  <c r="F22" i="1"/>
  <c r="F20" i="1"/>
  <c r="F51" i="1"/>
  <c r="F50" i="1"/>
  <c r="F49" i="1"/>
  <c r="F23" i="1"/>
  <c r="F24" i="1"/>
  <c r="F25" i="1"/>
  <c r="C96" i="1"/>
  <c r="F96" i="1"/>
  <c r="C93" i="1"/>
  <c r="F93" i="1"/>
  <c r="C94" i="1"/>
  <c r="F94" i="1"/>
  <c r="C95" i="1"/>
  <c r="F95" i="1"/>
  <c r="C90" i="1"/>
  <c r="F90" i="1"/>
  <c r="C91" i="1"/>
  <c r="F91" i="1"/>
  <c r="C92" i="1"/>
  <c r="F92" i="1"/>
  <c r="C89" i="1"/>
  <c r="F89" i="1"/>
  <c r="C88" i="1"/>
  <c r="F88" i="1"/>
  <c r="C87" i="1"/>
  <c r="F87" i="1"/>
  <c r="F58" i="1" l="1"/>
  <c r="F74" i="1" l="1"/>
  <c r="F75" i="1"/>
  <c r="F76" i="1"/>
  <c r="F77" i="1"/>
  <c r="F78" i="1"/>
  <c r="F79" i="1"/>
  <c r="F80" i="1"/>
  <c r="F81" i="1"/>
  <c r="F82" i="1"/>
  <c r="F83" i="1"/>
  <c r="F84" i="1"/>
  <c r="F85" i="1"/>
  <c r="C74" i="1"/>
  <c r="C75" i="1"/>
  <c r="C76" i="1"/>
  <c r="C77" i="1"/>
  <c r="C78" i="1"/>
  <c r="C79" i="1"/>
  <c r="C80" i="1"/>
  <c r="C81" i="1"/>
  <c r="C82" i="1"/>
  <c r="C83" i="1"/>
  <c r="C84" i="1"/>
  <c r="C85" i="1"/>
  <c r="F59" i="1"/>
  <c r="C59" i="1"/>
  <c r="C58" i="1"/>
  <c r="F45" i="1"/>
  <c r="F44" i="1"/>
  <c r="C44" i="1"/>
  <c r="F43" i="1"/>
  <c r="C43" i="1"/>
  <c r="F42" i="1"/>
  <c r="C42" i="1"/>
  <c r="F41" i="1"/>
  <c r="C41" i="1"/>
  <c r="F40" i="1"/>
  <c r="C40" i="1"/>
  <c r="F39" i="1"/>
  <c r="C39" i="1"/>
  <c r="F38" i="1"/>
  <c r="C38" i="1"/>
  <c r="F37" i="1"/>
  <c r="C37" i="1"/>
  <c r="F36" i="1"/>
  <c r="C36" i="1"/>
  <c r="F35" i="1"/>
  <c r="C35" i="1"/>
  <c r="F34" i="1"/>
  <c r="C34" i="1"/>
  <c r="F33" i="1"/>
  <c r="C33" i="1"/>
  <c r="F32" i="1"/>
  <c r="C32" i="1"/>
  <c r="F26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C26" i="1"/>
  <c r="C7" i="1"/>
  <c r="C8" i="1"/>
  <c r="C9" i="1"/>
  <c r="C10" i="1"/>
  <c r="C11" i="1"/>
  <c r="C12" i="1"/>
  <c r="C13" i="1"/>
  <c r="C14" i="1"/>
  <c r="C15" i="1"/>
  <c r="C16" i="1"/>
  <c r="C17" i="1"/>
  <c r="C18" i="1"/>
  <c r="C6" i="1"/>
</calcChain>
</file>

<file path=xl/sharedStrings.xml><?xml version="1.0" encoding="utf-8"?>
<sst xmlns="http://schemas.openxmlformats.org/spreadsheetml/2006/main" count="284" uniqueCount="81">
  <si>
    <t>Broadcast</t>
  </si>
  <si>
    <t>Masque</t>
  </si>
  <si>
    <t>Gateway</t>
  </si>
  <si>
    <t>Plage</t>
  </si>
  <si>
    <t>Service logistique</t>
  </si>
  <si>
    <t>Service comptabilité</t>
  </si>
  <si>
    <t>Secrétariat de direction</t>
  </si>
  <si>
    <t>Réseaux</t>
  </si>
  <si>
    <t>CIDR</t>
  </si>
  <si>
    <t>Service</t>
  </si>
  <si>
    <t>Service informatique - Support</t>
  </si>
  <si>
    <t>Service secrétariat</t>
  </si>
  <si>
    <t>Service direction</t>
  </si>
  <si>
    <t>Service RH</t>
  </si>
  <si>
    <t>Service communication</t>
  </si>
  <si>
    <t>Service support clients</t>
  </si>
  <si>
    <t>Service Informatique - Développement</t>
  </si>
  <si>
    <t>Service Informatique - Infrastructure</t>
  </si>
  <si>
    <t>Service R &amp; D</t>
  </si>
  <si>
    <t>Commerciaux</t>
  </si>
  <si>
    <t>Administration à distance (SSH)</t>
  </si>
  <si>
    <t>ACR</t>
  </si>
  <si>
    <t>SIS</t>
  </si>
  <si>
    <t>SCO</t>
  </si>
  <si>
    <t>SEC</t>
  </si>
  <si>
    <t>SRD</t>
  </si>
  <si>
    <t>SDI</t>
  </si>
  <si>
    <t>SRH</t>
  </si>
  <si>
    <t>COM</t>
  </si>
  <si>
    <t>SSC</t>
  </si>
  <si>
    <t>SDD</t>
  </si>
  <si>
    <t>SID</t>
  </si>
  <si>
    <t>SII</t>
  </si>
  <si>
    <t>LOG</t>
  </si>
  <si>
    <t>VLAN</t>
  </si>
  <si>
    <t>Serveurs</t>
  </si>
  <si>
    <t>SER</t>
  </si>
  <si>
    <t>Quantité</t>
  </si>
  <si>
    <t>Statique</t>
  </si>
  <si>
    <t>NON</t>
  </si>
  <si>
    <t>OUI</t>
  </si>
  <si>
    <t>Routeur : Agence - Datacenter</t>
  </si>
  <si>
    <t>Routeur : Site principal - Site secondaire</t>
  </si>
  <si>
    <t>Routeur : Site secondaire - Datacenter</t>
  </si>
  <si>
    <t>Routeur : Site secondaire - Datacenter Backup</t>
  </si>
  <si>
    <t>Routeur : Agence  - Routeur backup</t>
  </si>
  <si>
    <t>Routeur : Agence - Site principal</t>
  </si>
  <si>
    <t>Routeur : Agence  - Site secondaire</t>
  </si>
  <si>
    <t>Routeur : Agence - Datacenter Backup</t>
  </si>
  <si>
    <t>Routeur : Routeur Backup - Datacenter Backup</t>
  </si>
  <si>
    <t>Routeur : Routeur Backup - Datacenter</t>
  </si>
  <si>
    <t>Routeur : Routeur Backup - Site principal</t>
  </si>
  <si>
    <t>Routeur : Routeur Backup - Site secondaire</t>
  </si>
  <si>
    <t>Routeur : Site principal - Datacenter backup</t>
  </si>
  <si>
    <t>Acronyme</t>
  </si>
  <si>
    <t>Marge</t>
  </si>
  <si>
    <t>Réseau interne</t>
  </si>
  <si>
    <t>INT</t>
  </si>
  <si>
    <t>Acronyme / Catégorie</t>
  </si>
  <si>
    <t>ROUTEUR - ROUTEUR</t>
  </si>
  <si>
    <t>SERVICES</t>
  </si>
  <si>
    <t>Routeur : Site principal - Datacenter</t>
  </si>
  <si>
    <t>BONUS</t>
  </si>
  <si>
    <t>RÉSEAU BONUS</t>
  </si>
  <si>
    <t>ADMIN</t>
  </si>
  <si>
    <t>IMPRIMANTE</t>
  </si>
  <si>
    <t>Réseau pour chaque imprimante bâtiment principal</t>
  </si>
  <si>
    <t>Réseau pour chaque imprimante bâtiment Est</t>
  </si>
  <si>
    <t>Réseau pour chaque imprimante bâtiment Ouest</t>
  </si>
  <si>
    <t>Imprimante</t>
  </si>
  <si>
    <t>SITE SECONDAIRE (La marge sert pour le recrutement et les réseaux bonus pour les évolutions de l'entreprise (nouveau service par exemple)</t>
  </si>
  <si>
    <t>Numéro Réseau</t>
  </si>
  <si>
    <t>SITE PRINCIPAL (La marge sert pour le recrutement et les réseaux bonus pour les évolutions de l'entreprise (nouveau service par exemple)</t>
  </si>
  <si>
    <t>AGENCE (La marge sert pour le recrutement et les réseaux bonus pour les évolutions de l'entreprise (nouveau service par exemple)</t>
  </si>
  <si>
    <t>DATACENTER (La marge sert pour le recrutement et les réseaux bonus pour les évolutions de l'entreprise (nouveau service par exemple)</t>
  </si>
  <si>
    <t>DMZ</t>
  </si>
  <si>
    <t>Internet - Firewall</t>
  </si>
  <si>
    <t>Firewall - Serveur web commercial</t>
  </si>
  <si>
    <t>Firewall - Datacenter</t>
  </si>
  <si>
    <t>Firewall - Datacenter Backup</t>
  </si>
  <si>
    <t>HSRP + Datacenter + backup + ftp + rh +agence + intranet + 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</si>
</sst>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A7F6A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/>
    <xf numFmtId="0" fontId="0" fillId="3" borderId="1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 applyAlignment="1"/>
    <xf numFmtId="0" fontId="0" fillId="4" borderId="1" xfId="0" applyFill="1" applyBorder="1" applyAlignment="1">
      <alignment horizontal="center"/>
    </xf>
    <xf numFmtId="0" fontId="0" fillId="0" borderId="0" xfId="0" applyFill="1" applyBorder="1" applyAlignment="1"/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7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A7F6A"/>
      <color rgb="FFEB3915"/>
      <color rgb="FFA1F7B8"/>
      <color rgb="FF86CE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98"/>
  <sheetViews>
    <sheetView tabSelected="1" topLeftCell="A46" zoomScale="85" zoomScaleNormal="85" workbookViewId="0">
      <selection activeCell="H52" sqref="H52"/>
    </sheetView>
  </sheetViews>
  <sheetFormatPr baseColWidth="10" defaultColWidth="9.140625" defaultRowHeight="15" x14ac:dyDescent="0.25"/>
  <cols>
    <col min="1" max="1" width="26.28515625" style="1" customWidth="1"/>
    <col min="2" max="2" width="61.28515625" style="1" customWidth="1"/>
    <col min="3" max="3" width="6.5703125" style="1" customWidth="1"/>
    <col min="4" max="4" width="12.85546875" style="1" customWidth="1"/>
    <col min="5" max="6" width="20.7109375" style="1" customWidth="1"/>
    <col min="7" max="7" width="7" style="1" customWidth="1"/>
    <col min="8" max="9" width="20.7109375" style="1" customWidth="1"/>
    <col min="10" max="10" width="25.85546875" style="1" customWidth="1"/>
    <col min="11" max="11" width="11.7109375" style="1" customWidth="1"/>
    <col min="12" max="12" width="38.85546875" style="1" customWidth="1"/>
    <col min="13" max="18" width="20.7109375" style="1" customWidth="1"/>
    <col min="19" max="19" width="23.85546875" style="1" customWidth="1"/>
    <col min="20" max="36" width="20.7109375" style="1" customWidth="1"/>
    <col min="37" max="16384" width="9.140625" style="1"/>
  </cols>
  <sheetData>
    <row r="2" spans="1:18" x14ac:dyDescent="0.25">
      <c r="B2" s="19" t="s">
        <v>72</v>
      </c>
      <c r="C2" s="19"/>
      <c r="D2" s="19"/>
      <c r="E2" s="19"/>
      <c r="F2" s="19"/>
      <c r="G2" s="19"/>
      <c r="H2" s="19"/>
      <c r="L2" s="8"/>
      <c r="M2" s="8"/>
      <c r="N2" s="8"/>
      <c r="O2" s="7"/>
      <c r="P2" s="7"/>
      <c r="Q2" s="7"/>
      <c r="R2" s="7"/>
    </row>
    <row r="3" spans="1:18" x14ac:dyDescent="0.25">
      <c r="L3" s="7"/>
      <c r="M3" s="7"/>
      <c r="N3" s="7"/>
      <c r="O3" s="7"/>
      <c r="P3" s="7"/>
      <c r="Q3" s="7"/>
      <c r="R3" s="7"/>
    </row>
    <row r="4" spans="1:18" x14ac:dyDescent="0.25">
      <c r="A4" s="2" t="s">
        <v>54</v>
      </c>
      <c r="B4" s="2" t="s">
        <v>9</v>
      </c>
      <c r="C4" s="2" t="s">
        <v>55</v>
      </c>
      <c r="D4" s="2" t="s">
        <v>37</v>
      </c>
      <c r="E4" s="2" t="s">
        <v>7</v>
      </c>
      <c r="F4" s="2" t="s">
        <v>1</v>
      </c>
      <c r="G4" s="2" t="s">
        <v>8</v>
      </c>
      <c r="H4" s="2" t="s">
        <v>2</v>
      </c>
      <c r="I4" s="2" t="s">
        <v>0</v>
      </c>
      <c r="J4" s="2" t="s">
        <v>3</v>
      </c>
      <c r="K4" s="2" t="s">
        <v>34</v>
      </c>
      <c r="L4" s="2" t="s">
        <v>38</v>
      </c>
      <c r="M4" s="15" t="s">
        <v>71</v>
      </c>
      <c r="N4" s="7"/>
      <c r="O4" s="7"/>
      <c r="P4" s="7"/>
      <c r="Q4" s="7"/>
      <c r="R4" s="7"/>
    </row>
    <row r="5" spans="1:18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7"/>
      <c r="O5" s="7"/>
      <c r="P5" s="7"/>
      <c r="Q5" s="7"/>
      <c r="R5" s="7"/>
    </row>
    <row r="6" spans="1:18" x14ac:dyDescent="0.25">
      <c r="A6" s="14" t="s">
        <v>33</v>
      </c>
      <c r="B6" s="14" t="s">
        <v>4</v>
      </c>
      <c r="C6" s="14">
        <f>2^(32-G6)-D6-2</f>
        <v>22</v>
      </c>
      <c r="D6" s="14">
        <v>8</v>
      </c>
      <c r="E6" s="14" t="str">
        <f>_xlfn.CONCAT("10.","0.",M6,".0")</f>
        <v>10.0.0.0</v>
      </c>
      <c r="F6" s="14" t="str">
        <f>_xlfn.CONCAT("255.255.255.",(255-2^(32-G6)+1))</f>
        <v>255.255.255.224</v>
      </c>
      <c r="G6" s="14">
        <v>27</v>
      </c>
      <c r="H6" s="14" t="str">
        <f>_xlfn.CONCAT("10.","0.",M6,".1")</f>
        <v>10.0.0.1</v>
      </c>
      <c r="I6" s="14" t="str">
        <f>_xlfn.CONCAT("10.0.",M6,".",2^(32-G6)-1)</f>
        <v>10.0.0.31</v>
      </c>
      <c r="J6" s="14" t="str">
        <f>_xlfn.CONCAT(H6," - ","10.0.",M6,".",2^(32-G6)-2)</f>
        <v>10.0.0.1 - 10.0.0.30</v>
      </c>
      <c r="K6" s="14">
        <v>10</v>
      </c>
      <c r="L6" s="14" t="s">
        <v>39</v>
      </c>
      <c r="M6" s="14">
        <v>0</v>
      </c>
      <c r="N6" s="7"/>
      <c r="O6" s="7"/>
      <c r="P6" s="7"/>
      <c r="Q6" s="7"/>
      <c r="R6" s="7"/>
    </row>
    <row r="7" spans="1:18" x14ac:dyDescent="0.25">
      <c r="A7" s="14" t="s">
        <v>22</v>
      </c>
      <c r="B7" s="14" t="s">
        <v>10</v>
      </c>
      <c r="C7" s="14">
        <f t="shared" ref="C7:C26" si="0">2^(32-G7)-D7-2</f>
        <v>24</v>
      </c>
      <c r="D7" s="14">
        <v>6</v>
      </c>
      <c r="E7" s="14" t="str">
        <f t="shared" ref="E7:E26" si="1">_xlfn.CONCAT("10.","0.",M7,".0")</f>
        <v>10.0.1.0</v>
      </c>
      <c r="F7" s="14" t="str">
        <f t="shared" ref="F7:F26" si="2">_xlfn.CONCAT("255.255.255.",(255-2^(32-G7)+1))</f>
        <v>255.255.255.224</v>
      </c>
      <c r="G7" s="14">
        <v>27</v>
      </c>
      <c r="H7" s="14" t="str">
        <f t="shared" ref="H7:H26" si="3">_xlfn.CONCAT("10.","0.",M7,".1")</f>
        <v>10.0.1.1</v>
      </c>
      <c r="I7" s="14" t="str">
        <f t="shared" ref="I7:I26" si="4">_xlfn.CONCAT("10.0.",M7,".",2^(32-G7)-1)</f>
        <v>10.0.1.31</v>
      </c>
      <c r="J7" s="14" t="str">
        <f t="shared" ref="J7:J26" si="5">_xlfn.CONCAT(H7," - ","10.0.",M7,".",2^(32-G7)-2)</f>
        <v>10.0.1.1 - 10.0.1.30</v>
      </c>
      <c r="K7" s="14">
        <v>20</v>
      </c>
      <c r="L7" s="14" t="s">
        <v>39</v>
      </c>
      <c r="M7" s="14">
        <v>1</v>
      </c>
      <c r="N7" s="7"/>
      <c r="O7" s="7"/>
      <c r="P7" s="7"/>
      <c r="Q7" s="7"/>
      <c r="R7" s="7"/>
    </row>
    <row r="8" spans="1:18" x14ac:dyDescent="0.25">
      <c r="A8" s="14" t="s">
        <v>23</v>
      </c>
      <c r="B8" s="14" t="s">
        <v>5</v>
      </c>
      <c r="C8" s="14">
        <f t="shared" si="0"/>
        <v>10</v>
      </c>
      <c r="D8" s="14">
        <v>4</v>
      </c>
      <c r="E8" s="14" t="str">
        <f t="shared" si="1"/>
        <v>10.0.2.0</v>
      </c>
      <c r="F8" s="14" t="str">
        <f t="shared" si="2"/>
        <v>255.255.255.240</v>
      </c>
      <c r="G8" s="14">
        <v>28</v>
      </c>
      <c r="H8" s="14" t="str">
        <f t="shared" si="3"/>
        <v>10.0.2.1</v>
      </c>
      <c r="I8" s="14" t="str">
        <f t="shared" si="4"/>
        <v>10.0.2.15</v>
      </c>
      <c r="J8" s="14" t="str">
        <f t="shared" si="5"/>
        <v>10.0.2.1 - 10.0.2.14</v>
      </c>
      <c r="K8" s="14">
        <v>30</v>
      </c>
      <c r="L8" s="14" t="s">
        <v>39</v>
      </c>
      <c r="M8" s="14">
        <v>2</v>
      </c>
      <c r="N8" s="7"/>
      <c r="O8" s="7"/>
      <c r="P8" s="7"/>
      <c r="Q8" s="7"/>
      <c r="R8" s="7"/>
    </row>
    <row r="9" spans="1:18" x14ac:dyDescent="0.25">
      <c r="A9" s="14" t="s">
        <v>24</v>
      </c>
      <c r="B9" s="14" t="s">
        <v>11</v>
      </c>
      <c r="C9" s="14">
        <f t="shared" si="0"/>
        <v>16</v>
      </c>
      <c r="D9" s="14">
        <v>14</v>
      </c>
      <c r="E9" s="14" t="str">
        <f t="shared" si="1"/>
        <v>10.0.3.0</v>
      </c>
      <c r="F9" s="14" t="str">
        <f t="shared" si="2"/>
        <v>255.255.255.224</v>
      </c>
      <c r="G9" s="14">
        <v>27</v>
      </c>
      <c r="H9" s="14" t="str">
        <f t="shared" si="3"/>
        <v>10.0.3.1</v>
      </c>
      <c r="I9" s="14" t="str">
        <f t="shared" si="4"/>
        <v>10.0.3.31</v>
      </c>
      <c r="J9" s="14" t="str">
        <f t="shared" si="5"/>
        <v>10.0.3.1 - 10.0.3.30</v>
      </c>
      <c r="K9" s="14">
        <v>40</v>
      </c>
      <c r="L9" s="14" t="s">
        <v>39</v>
      </c>
      <c r="M9" s="14">
        <v>3</v>
      </c>
      <c r="N9" s="7"/>
      <c r="O9" s="7"/>
      <c r="P9" s="7"/>
      <c r="Q9" s="7"/>
      <c r="R9" s="7"/>
    </row>
    <row r="10" spans="1:18" x14ac:dyDescent="0.25">
      <c r="A10" s="14" t="s">
        <v>25</v>
      </c>
      <c r="B10" s="14" t="s">
        <v>18</v>
      </c>
      <c r="C10" s="14">
        <f t="shared" si="0"/>
        <v>110</v>
      </c>
      <c r="D10" s="14">
        <v>144</v>
      </c>
      <c r="E10" s="14" t="str">
        <f t="shared" si="1"/>
        <v>10.0.4.0</v>
      </c>
      <c r="F10" s="14" t="str">
        <f t="shared" si="2"/>
        <v>255.255.255.0</v>
      </c>
      <c r="G10" s="14">
        <v>24</v>
      </c>
      <c r="H10" s="14" t="str">
        <f t="shared" si="3"/>
        <v>10.0.4.1</v>
      </c>
      <c r="I10" s="14" t="str">
        <f t="shared" si="4"/>
        <v>10.0.4.255</v>
      </c>
      <c r="J10" s="14" t="str">
        <f t="shared" si="5"/>
        <v>10.0.4.1 - 10.0.4.254</v>
      </c>
      <c r="K10" s="14">
        <v>50</v>
      </c>
      <c r="L10" s="14" t="s">
        <v>39</v>
      </c>
      <c r="M10" s="14">
        <v>4</v>
      </c>
      <c r="N10" s="7"/>
      <c r="O10" s="7"/>
      <c r="P10" s="7"/>
      <c r="Q10" s="7"/>
      <c r="R10" s="7"/>
    </row>
    <row r="11" spans="1:18" x14ac:dyDescent="0.25">
      <c r="A11" s="14" t="s">
        <v>26</v>
      </c>
      <c r="B11" s="14" t="s">
        <v>12</v>
      </c>
      <c r="C11" s="14">
        <f t="shared" si="0"/>
        <v>20</v>
      </c>
      <c r="D11" s="14">
        <v>10</v>
      </c>
      <c r="E11" s="14" t="str">
        <f t="shared" si="1"/>
        <v>10.0.5.0</v>
      </c>
      <c r="F11" s="14" t="str">
        <f t="shared" si="2"/>
        <v>255.255.255.224</v>
      </c>
      <c r="G11" s="14">
        <v>27</v>
      </c>
      <c r="H11" s="14" t="str">
        <f t="shared" si="3"/>
        <v>10.0.5.1</v>
      </c>
      <c r="I11" s="14" t="str">
        <f t="shared" si="4"/>
        <v>10.0.5.31</v>
      </c>
      <c r="J11" s="14" t="str">
        <f t="shared" si="5"/>
        <v>10.0.5.1 - 10.0.5.30</v>
      </c>
      <c r="K11" s="14">
        <v>60</v>
      </c>
      <c r="L11" s="14" t="s">
        <v>39</v>
      </c>
      <c r="M11" s="14">
        <v>5</v>
      </c>
      <c r="N11" s="7"/>
      <c r="O11" s="7"/>
      <c r="P11" s="7"/>
      <c r="Q11" s="7"/>
      <c r="R11" s="7"/>
    </row>
    <row r="12" spans="1:18" x14ac:dyDescent="0.25">
      <c r="A12" s="14" t="s">
        <v>27</v>
      </c>
      <c r="B12" s="14" t="s">
        <v>13</v>
      </c>
      <c r="C12" s="14">
        <f t="shared" si="0"/>
        <v>10</v>
      </c>
      <c r="D12" s="14">
        <v>4</v>
      </c>
      <c r="E12" s="14" t="str">
        <f t="shared" si="1"/>
        <v>10.0.6.0</v>
      </c>
      <c r="F12" s="14" t="str">
        <f t="shared" si="2"/>
        <v>255.255.255.240</v>
      </c>
      <c r="G12" s="14">
        <v>28</v>
      </c>
      <c r="H12" s="14" t="str">
        <f t="shared" si="3"/>
        <v>10.0.6.1</v>
      </c>
      <c r="I12" s="14" t="str">
        <f t="shared" si="4"/>
        <v>10.0.6.15</v>
      </c>
      <c r="J12" s="14" t="str">
        <f t="shared" si="5"/>
        <v>10.0.6.1 - 10.0.6.14</v>
      </c>
      <c r="K12" s="14">
        <v>70</v>
      </c>
      <c r="L12" s="14" t="s">
        <v>39</v>
      </c>
      <c r="M12" s="14">
        <v>6</v>
      </c>
      <c r="N12" s="7"/>
      <c r="O12" s="7"/>
      <c r="P12" s="7"/>
      <c r="Q12" s="7"/>
      <c r="R12" s="7"/>
    </row>
    <row r="13" spans="1:18" x14ac:dyDescent="0.25">
      <c r="A13" s="14" t="s">
        <v>28</v>
      </c>
      <c r="B13" s="14" t="s">
        <v>14</v>
      </c>
      <c r="C13" s="14">
        <f t="shared" si="0"/>
        <v>22</v>
      </c>
      <c r="D13" s="14">
        <v>8</v>
      </c>
      <c r="E13" s="14" t="str">
        <f t="shared" si="1"/>
        <v>10.0.7.0</v>
      </c>
      <c r="F13" s="14" t="str">
        <f t="shared" si="2"/>
        <v>255.255.255.224</v>
      </c>
      <c r="G13" s="14">
        <v>27</v>
      </c>
      <c r="H13" s="14" t="str">
        <f t="shared" si="3"/>
        <v>10.0.7.1</v>
      </c>
      <c r="I13" s="14" t="str">
        <f t="shared" si="4"/>
        <v>10.0.7.31</v>
      </c>
      <c r="J13" s="14" t="str">
        <f t="shared" si="5"/>
        <v>10.0.7.1 - 10.0.7.30</v>
      </c>
      <c r="K13" s="14">
        <v>80</v>
      </c>
      <c r="L13" s="14" t="s">
        <v>39</v>
      </c>
      <c r="M13" s="14">
        <v>7</v>
      </c>
      <c r="N13" s="7"/>
      <c r="O13" s="7"/>
      <c r="P13" s="7"/>
      <c r="Q13" s="7"/>
      <c r="R13" s="7"/>
    </row>
    <row r="14" spans="1:18" x14ac:dyDescent="0.25">
      <c r="A14" s="14" t="s">
        <v>29</v>
      </c>
      <c r="B14" s="14" t="s">
        <v>15</v>
      </c>
      <c r="C14" s="14">
        <f t="shared" si="0"/>
        <v>24</v>
      </c>
      <c r="D14" s="14">
        <v>6</v>
      </c>
      <c r="E14" s="14" t="str">
        <f t="shared" si="1"/>
        <v>10.0.8.0</v>
      </c>
      <c r="F14" s="14" t="str">
        <f t="shared" si="2"/>
        <v>255.255.255.224</v>
      </c>
      <c r="G14" s="14">
        <v>27</v>
      </c>
      <c r="H14" s="14" t="str">
        <f t="shared" si="3"/>
        <v>10.0.8.1</v>
      </c>
      <c r="I14" s="14" t="str">
        <f t="shared" si="4"/>
        <v>10.0.8.31</v>
      </c>
      <c r="J14" s="14" t="str">
        <f t="shared" si="5"/>
        <v>10.0.8.1 - 10.0.8.30</v>
      </c>
      <c r="K14" s="14">
        <v>90</v>
      </c>
      <c r="L14" s="14" t="s">
        <v>39</v>
      </c>
      <c r="M14" s="14">
        <v>8</v>
      </c>
      <c r="N14" s="7"/>
      <c r="O14" s="7"/>
      <c r="P14" s="7"/>
      <c r="Q14" s="7"/>
      <c r="R14" s="7"/>
    </row>
    <row r="15" spans="1:18" x14ac:dyDescent="0.25">
      <c r="A15" s="14" t="s">
        <v>30</v>
      </c>
      <c r="B15" s="14" t="s">
        <v>6</v>
      </c>
      <c r="C15" s="14">
        <f t="shared" si="0"/>
        <v>10</v>
      </c>
      <c r="D15" s="14">
        <v>4</v>
      </c>
      <c r="E15" s="14" t="str">
        <f t="shared" si="1"/>
        <v>10.0.9.0</v>
      </c>
      <c r="F15" s="14" t="str">
        <f t="shared" si="2"/>
        <v>255.255.255.240</v>
      </c>
      <c r="G15" s="14">
        <v>28</v>
      </c>
      <c r="H15" s="14" t="str">
        <f t="shared" si="3"/>
        <v>10.0.9.1</v>
      </c>
      <c r="I15" s="14" t="str">
        <f t="shared" si="4"/>
        <v>10.0.9.15</v>
      </c>
      <c r="J15" s="14" t="str">
        <f t="shared" si="5"/>
        <v>10.0.9.1 - 10.0.9.14</v>
      </c>
      <c r="K15" s="14">
        <v>100</v>
      </c>
      <c r="L15" s="14" t="s">
        <v>39</v>
      </c>
      <c r="M15" s="14">
        <v>9</v>
      </c>
      <c r="N15" s="7"/>
      <c r="O15" s="7"/>
      <c r="P15" s="7"/>
      <c r="Q15" s="7"/>
      <c r="R15" s="7"/>
    </row>
    <row r="16" spans="1:18" x14ac:dyDescent="0.25">
      <c r="A16" s="14" t="s">
        <v>31</v>
      </c>
      <c r="B16" s="14" t="s">
        <v>16</v>
      </c>
      <c r="C16" s="14">
        <f t="shared" si="0"/>
        <v>20</v>
      </c>
      <c r="D16" s="14">
        <v>10</v>
      </c>
      <c r="E16" s="14" t="str">
        <f t="shared" si="1"/>
        <v>10.0.10.0</v>
      </c>
      <c r="F16" s="14" t="str">
        <f t="shared" si="2"/>
        <v>255.255.255.224</v>
      </c>
      <c r="G16" s="14">
        <v>27</v>
      </c>
      <c r="H16" s="14" t="str">
        <f t="shared" si="3"/>
        <v>10.0.10.1</v>
      </c>
      <c r="I16" s="14" t="str">
        <f t="shared" si="4"/>
        <v>10.0.10.31</v>
      </c>
      <c r="J16" s="14" t="str">
        <f t="shared" si="5"/>
        <v>10.0.10.1 - 10.0.10.30</v>
      </c>
      <c r="K16" s="14">
        <v>110</v>
      </c>
      <c r="L16" s="14" t="s">
        <v>39</v>
      </c>
      <c r="M16" s="14">
        <v>10</v>
      </c>
      <c r="N16" s="7"/>
      <c r="O16" s="7"/>
      <c r="P16" s="7"/>
      <c r="Q16" s="7"/>
      <c r="R16" s="7"/>
    </row>
    <row r="17" spans="1:18" x14ac:dyDescent="0.25">
      <c r="A17" s="14" t="s">
        <v>32</v>
      </c>
      <c r="B17" s="14" t="s">
        <v>17</v>
      </c>
      <c r="C17" s="14">
        <f t="shared" si="0"/>
        <v>10</v>
      </c>
      <c r="D17" s="14">
        <v>4</v>
      </c>
      <c r="E17" s="14" t="str">
        <f t="shared" si="1"/>
        <v>10.0.11.0</v>
      </c>
      <c r="F17" s="14" t="str">
        <f t="shared" si="2"/>
        <v>255.255.255.240</v>
      </c>
      <c r="G17" s="14">
        <v>28</v>
      </c>
      <c r="H17" s="14" t="str">
        <f t="shared" si="3"/>
        <v>10.0.11.1</v>
      </c>
      <c r="I17" s="14" t="str">
        <f t="shared" si="4"/>
        <v>10.0.11.15</v>
      </c>
      <c r="J17" s="14" t="str">
        <f t="shared" si="5"/>
        <v>10.0.11.1 - 10.0.11.14</v>
      </c>
      <c r="K17" s="14">
        <v>120</v>
      </c>
      <c r="L17" s="14" t="s">
        <v>39</v>
      </c>
      <c r="M17" s="14">
        <v>11</v>
      </c>
      <c r="N17" s="7"/>
      <c r="O17" s="7"/>
      <c r="P17" s="7"/>
      <c r="Q17" s="7"/>
      <c r="R17" s="7"/>
    </row>
    <row r="18" spans="1:18" x14ac:dyDescent="0.25">
      <c r="A18" s="14" t="s">
        <v>36</v>
      </c>
      <c r="B18" s="14" t="s">
        <v>35</v>
      </c>
      <c r="C18" s="14">
        <f t="shared" si="0"/>
        <v>8</v>
      </c>
      <c r="D18" s="14">
        <v>6</v>
      </c>
      <c r="E18" s="14" t="str">
        <f t="shared" si="1"/>
        <v>10.0.12.0</v>
      </c>
      <c r="F18" s="14" t="str">
        <f t="shared" si="2"/>
        <v>255.255.255.240</v>
      </c>
      <c r="G18" s="14">
        <v>28</v>
      </c>
      <c r="H18" s="14" t="str">
        <f t="shared" si="3"/>
        <v>10.0.12.1</v>
      </c>
      <c r="I18" s="14" t="str">
        <f t="shared" si="4"/>
        <v>10.0.12.15</v>
      </c>
      <c r="J18" s="14" t="str">
        <f t="shared" si="5"/>
        <v>10.0.12.1 - 10.0.12.14</v>
      </c>
      <c r="K18" s="9"/>
      <c r="L18" s="14" t="s">
        <v>40</v>
      </c>
      <c r="M18" s="14">
        <v>12</v>
      </c>
      <c r="N18" s="7"/>
      <c r="O18" s="7"/>
      <c r="P18" s="7"/>
      <c r="Q18" s="7"/>
      <c r="R18" s="7"/>
    </row>
    <row r="19" spans="1:18" x14ac:dyDescent="0.25">
      <c r="A19" s="14" t="s">
        <v>57</v>
      </c>
      <c r="B19" s="14" t="s">
        <v>56</v>
      </c>
      <c r="C19" s="12"/>
      <c r="D19" s="14">
        <v>254</v>
      </c>
      <c r="E19" s="14" t="str">
        <f t="shared" si="1"/>
        <v>10.0.13.0</v>
      </c>
      <c r="F19" s="14" t="str">
        <f t="shared" si="2"/>
        <v>255.255.255.0</v>
      </c>
      <c r="G19" s="14">
        <v>24</v>
      </c>
      <c r="H19" s="14" t="str">
        <f t="shared" si="3"/>
        <v>10.0.13.1</v>
      </c>
      <c r="I19" s="14" t="str">
        <f t="shared" si="4"/>
        <v>10.0.13.255</v>
      </c>
      <c r="J19" s="14" t="str">
        <f t="shared" si="5"/>
        <v>10.0.13.1 - 10.0.13.254</v>
      </c>
      <c r="K19" s="14">
        <v>140</v>
      </c>
      <c r="L19" s="14" t="s">
        <v>40</v>
      </c>
      <c r="M19" s="14">
        <v>13</v>
      </c>
      <c r="N19" s="7"/>
      <c r="O19" s="7"/>
      <c r="P19" s="7"/>
      <c r="Q19" s="7"/>
      <c r="R19" s="7"/>
    </row>
    <row r="20" spans="1:18" x14ac:dyDescent="0.25">
      <c r="A20" s="13" t="s">
        <v>65</v>
      </c>
      <c r="B20" s="13" t="s">
        <v>66</v>
      </c>
      <c r="C20" s="13">
        <f t="shared" si="0"/>
        <v>3</v>
      </c>
      <c r="D20" s="13">
        <v>3</v>
      </c>
      <c r="E20" s="13" t="str">
        <f t="shared" si="1"/>
        <v>10.0.14.0</v>
      </c>
      <c r="F20" s="13" t="str">
        <f t="shared" ref="F20" si="6">_xlfn.CONCAT("255.255.255.",(255-2^(32-G20)+1))</f>
        <v>255.255.255.248</v>
      </c>
      <c r="G20" s="13">
        <v>29</v>
      </c>
      <c r="H20" s="13" t="str">
        <f t="shared" si="3"/>
        <v>10.0.14.1</v>
      </c>
      <c r="I20" s="13" t="str">
        <f t="shared" si="4"/>
        <v>10.0.14.7</v>
      </c>
      <c r="J20" s="13" t="str">
        <f t="shared" si="5"/>
        <v>10.0.14.1 - 10.0.14.6</v>
      </c>
      <c r="K20" s="17">
        <v>150</v>
      </c>
      <c r="L20" s="13" t="s">
        <v>40</v>
      </c>
      <c r="M20" s="13">
        <v>14</v>
      </c>
      <c r="N20" s="7"/>
      <c r="O20" s="7"/>
      <c r="P20" s="7"/>
      <c r="Q20" s="7"/>
      <c r="R20" s="7"/>
    </row>
    <row r="21" spans="1:18" x14ac:dyDescent="0.25">
      <c r="A21" s="13" t="s">
        <v>65</v>
      </c>
      <c r="B21" s="13" t="s">
        <v>67</v>
      </c>
      <c r="C21" s="13">
        <f t="shared" si="0"/>
        <v>3</v>
      </c>
      <c r="D21" s="13">
        <v>3</v>
      </c>
      <c r="E21" s="13" t="str">
        <f t="shared" si="1"/>
        <v>10.0.15.0</v>
      </c>
      <c r="F21" s="13" t="str">
        <f t="shared" ref="F21:F22" si="7">_xlfn.CONCAT("255.255.255.",(255-2^(32-G21)+1))</f>
        <v>255.255.255.248</v>
      </c>
      <c r="G21" s="13">
        <v>29</v>
      </c>
      <c r="H21" s="13" t="str">
        <f t="shared" si="3"/>
        <v>10.0.15.1</v>
      </c>
      <c r="I21" s="13" t="str">
        <f t="shared" si="4"/>
        <v>10.0.15.7</v>
      </c>
      <c r="J21" s="13" t="str">
        <f t="shared" si="5"/>
        <v>10.0.15.1 - 10.0.15.6</v>
      </c>
      <c r="K21" s="17">
        <v>160</v>
      </c>
      <c r="L21" s="13" t="s">
        <v>40</v>
      </c>
      <c r="M21" s="13">
        <v>15</v>
      </c>
      <c r="N21" s="7"/>
      <c r="O21" s="7"/>
      <c r="P21" s="7"/>
      <c r="Q21" s="7"/>
      <c r="R21" s="7"/>
    </row>
    <row r="22" spans="1:18" x14ac:dyDescent="0.25">
      <c r="A22" s="13" t="s">
        <v>65</v>
      </c>
      <c r="B22" s="13" t="s">
        <v>68</v>
      </c>
      <c r="C22" s="13">
        <f t="shared" si="0"/>
        <v>3</v>
      </c>
      <c r="D22" s="13">
        <v>3</v>
      </c>
      <c r="E22" s="13" t="str">
        <f t="shared" si="1"/>
        <v>10.0.16.0</v>
      </c>
      <c r="F22" s="13" t="str">
        <f t="shared" si="7"/>
        <v>255.255.255.248</v>
      </c>
      <c r="G22" s="13">
        <v>29</v>
      </c>
      <c r="H22" s="13" t="str">
        <f t="shared" si="3"/>
        <v>10.0.16.1</v>
      </c>
      <c r="I22" s="13" t="str">
        <f t="shared" si="4"/>
        <v>10.0.16.7</v>
      </c>
      <c r="J22" s="13" t="str">
        <f t="shared" si="5"/>
        <v>10.0.16.1 - 10.0.16.6</v>
      </c>
      <c r="K22" s="17">
        <v>170</v>
      </c>
      <c r="L22" s="13" t="s">
        <v>40</v>
      </c>
      <c r="M22" s="13">
        <v>16</v>
      </c>
      <c r="N22" s="7"/>
      <c r="O22" s="7"/>
      <c r="P22" s="7"/>
      <c r="Q22" s="7"/>
      <c r="R22" s="7"/>
    </row>
    <row r="23" spans="1:18" x14ac:dyDescent="0.25">
      <c r="A23" s="11" t="s">
        <v>62</v>
      </c>
      <c r="B23" s="11" t="s">
        <v>62</v>
      </c>
      <c r="C23" s="12"/>
      <c r="D23" s="11">
        <v>254</v>
      </c>
      <c r="E23" s="11" t="str">
        <f t="shared" si="1"/>
        <v>10.0.17.0</v>
      </c>
      <c r="F23" s="11" t="str">
        <f t="shared" ref="F23:F25" si="8">_xlfn.CONCAT("255.255.255.",(255-2^(32-G23)+1))</f>
        <v>255.255.255.0</v>
      </c>
      <c r="G23" s="11">
        <v>24</v>
      </c>
      <c r="H23" s="11" t="str">
        <f t="shared" si="3"/>
        <v>10.0.17.1</v>
      </c>
      <c r="I23" s="11" t="str">
        <f t="shared" si="4"/>
        <v>10.0.17.255</v>
      </c>
      <c r="J23" s="11" t="str">
        <f t="shared" si="5"/>
        <v>10.0.17.1 - 10.0.17.254</v>
      </c>
      <c r="K23" s="11">
        <v>180</v>
      </c>
      <c r="L23" s="11" t="s">
        <v>40</v>
      </c>
      <c r="M23" s="11">
        <v>17</v>
      </c>
      <c r="N23" s="7"/>
      <c r="O23" s="7"/>
      <c r="P23" s="7"/>
      <c r="Q23" s="7"/>
      <c r="R23" s="7"/>
    </row>
    <row r="24" spans="1:18" x14ac:dyDescent="0.25">
      <c r="A24" s="11" t="s">
        <v>62</v>
      </c>
      <c r="B24" s="11" t="s">
        <v>62</v>
      </c>
      <c r="C24" s="12"/>
      <c r="D24" s="11">
        <v>254</v>
      </c>
      <c r="E24" s="11" t="str">
        <f t="shared" si="1"/>
        <v>10.0.18.0</v>
      </c>
      <c r="F24" s="11" t="str">
        <f t="shared" si="8"/>
        <v>255.255.255.0</v>
      </c>
      <c r="G24" s="11">
        <v>24</v>
      </c>
      <c r="H24" s="11" t="str">
        <f t="shared" si="3"/>
        <v>10.0.18.1</v>
      </c>
      <c r="I24" s="11" t="str">
        <f t="shared" si="4"/>
        <v>10.0.18.255</v>
      </c>
      <c r="J24" s="11" t="str">
        <f t="shared" si="5"/>
        <v>10.0.18.1 - 10.0.18.254</v>
      </c>
      <c r="K24" s="11">
        <v>190</v>
      </c>
      <c r="L24" s="11" t="s">
        <v>40</v>
      </c>
      <c r="M24" s="11">
        <v>18</v>
      </c>
      <c r="N24" s="7"/>
      <c r="O24" s="7"/>
      <c r="P24" s="7"/>
      <c r="Q24" s="7"/>
      <c r="R24" s="7"/>
    </row>
    <row r="25" spans="1:18" x14ac:dyDescent="0.25">
      <c r="A25" s="11" t="s">
        <v>62</v>
      </c>
      <c r="B25" s="11" t="s">
        <v>62</v>
      </c>
      <c r="C25" s="12"/>
      <c r="D25" s="11">
        <v>254</v>
      </c>
      <c r="E25" s="11" t="str">
        <f t="shared" si="1"/>
        <v>10.0.19.0</v>
      </c>
      <c r="F25" s="11" t="str">
        <f t="shared" si="8"/>
        <v>255.255.255.0</v>
      </c>
      <c r="G25" s="11">
        <v>24</v>
      </c>
      <c r="H25" s="11" t="str">
        <f t="shared" si="3"/>
        <v>10.0.19.1</v>
      </c>
      <c r="I25" s="11" t="str">
        <f t="shared" si="4"/>
        <v>10.0.19.255</v>
      </c>
      <c r="J25" s="11" t="str">
        <f t="shared" si="5"/>
        <v>10.0.19.1 - 10.0.19.254</v>
      </c>
      <c r="K25" s="11">
        <v>200</v>
      </c>
      <c r="L25" s="11" t="s">
        <v>40</v>
      </c>
      <c r="M25" s="11">
        <v>19</v>
      </c>
      <c r="N25" s="7"/>
      <c r="O25" s="7"/>
      <c r="P25" s="7"/>
      <c r="Q25" s="7"/>
      <c r="R25" s="7"/>
    </row>
    <row r="26" spans="1:18" x14ac:dyDescent="0.25">
      <c r="A26" s="6" t="s">
        <v>64</v>
      </c>
      <c r="B26" s="6" t="s">
        <v>20</v>
      </c>
      <c r="C26" s="6">
        <f t="shared" si="0"/>
        <v>54</v>
      </c>
      <c r="D26" s="6">
        <v>200</v>
      </c>
      <c r="E26" s="6" t="str">
        <f t="shared" si="1"/>
        <v>10.0.254.0</v>
      </c>
      <c r="F26" s="6" t="str">
        <f t="shared" si="2"/>
        <v>255.255.255.0</v>
      </c>
      <c r="G26" s="6">
        <v>24</v>
      </c>
      <c r="H26" s="6" t="str">
        <f t="shared" si="3"/>
        <v>10.0.254.1</v>
      </c>
      <c r="I26" s="6" t="str">
        <f t="shared" si="4"/>
        <v>10.0.254.255</v>
      </c>
      <c r="J26" s="6" t="str">
        <f t="shared" si="5"/>
        <v>10.0.254.1 - 10.0.254.254</v>
      </c>
      <c r="K26" s="6">
        <v>99</v>
      </c>
      <c r="L26" s="6" t="s">
        <v>40</v>
      </c>
      <c r="M26" s="6">
        <v>254</v>
      </c>
      <c r="N26" s="7"/>
      <c r="O26" s="7"/>
      <c r="P26" s="7"/>
      <c r="Q26" s="7"/>
      <c r="R26" s="7"/>
    </row>
    <row r="27" spans="1:18" x14ac:dyDescent="0.25">
      <c r="L27" s="7"/>
      <c r="M27" s="7"/>
      <c r="N27" s="7"/>
      <c r="O27" s="7"/>
      <c r="P27" s="7"/>
      <c r="Q27" s="7"/>
      <c r="R27" s="7"/>
    </row>
    <row r="28" spans="1:18" x14ac:dyDescent="0.25">
      <c r="B28" s="19" t="s">
        <v>70</v>
      </c>
      <c r="C28" s="19"/>
      <c r="D28" s="19"/>
      <c r="E28" s="19"/>
      <c r="F28" s="19"/>
      <c r="G28" s="19"/>
      <c r="H28" s="19"/>
      <c r="L28" s="7"/>
      <c r="M28" s="7"/>
      <c r="N28" s="7"/>
      <c r="O28" s="7"/>
      <c r="P28" s="7"/>
      <c r="Q28" s="7"/>
      <c r="R28" s="7"/>
    </row>
    <row r="29" spans="1:18" x14ac:dyDescent="0.25">
      <c r="L29" s="7"/>
      <c r="M29" s="7"/>
      <c r="N29" s="7"/>
      <c r="O29" s="7"/>
      <c r="P29" s="7"/>
      <c r="Q29" s="7"/>
      <c r="R29" s="7"/>
    </row>
    <row r="30" spans="1:18" x14ac:dyDescent="0.25">
      <c r="A30" s="2" t="s">
        <v>54</v>
      </c>
      <c r="B30" s="2" t="s">
        <v>9</v>
      </c>
      <c r="C30" s="2" t="s">
        <v>55</v>
      </c>
      <c r="D30" s="2" t="s">
        <v>37</v>
      </c>
      <c r="E30" s="2" t="s">
        <v>7</v>
      </c>
      <c r="F30" s="2" t="s">
        <v>1</v>
      </c>
      <c r="G30" s="2" t="s">
        <v>8</v>
      </c>
      <c r="H30" s="2" t="s">
        <v>2</v>
      </c>
      <c r="I30" s="2" t="s">
        <v>0</v>
      </c>
      <c r="J30" s="2" t="s">
        <v>3</v>
      </c>
      <c r="K30" s="2" t="s">
        <v>34</v>
      </c>
      <c r="L30" s="2" t="s">
        <v>38</v>
      </c>
      <c r="M30" s="15" t="s">
        <v>71</v>
      </c>
      <c r="N30" s="7"/>
      <c r="O30" s="7"/>
      <c r="P30" s="7"/>
      <c r="Q30" s="7"/>
      <c r="R30" s="7"/>
    </row>
    <row r="31" spans="1:18" x14ac:dyDescent="0.25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7"/>
      <c r="O31" s="7"/>
      <c r="P31" s="7"/>
      <c r="Q31" s="7"/>
      <c r="R31" s="7"/>
    </row>
    <row r="32" spans="1:18" x14ac:dyDescent="0.25">
      <c r="A32" s="14" t="s">
        <v>33</v>
      </c>
      <c r="B32" s="14" t="s">
        <v>4</v>
      </c>
      <c r="C32" s="14">
        <f>2^(32-G32)-D32-2</f>
        <v>22</v>
      </c>
      <c r="D32" s="14">
        <v>8</v>
      </c>
      <c r="E32" s="14" t="str">
        <f>_xlfn.CONCAT("10.","1.",M32,".0")</f>
        <v>10.1.0.0</v>
      </c>
      <c r="F32" s="14" t="str">
        <f>_xlfn.CONCAT("255.255.255.",(255-2^(32-G32)+1))</f>
        <v>255.255.255.224</v>
      </c>
      <c r="G32" s="14">
        <v>27</v>
      </c>
      <c r="H32" s="14" t="str">
        <f>_xlfn.CONCAT("10.","1.",M32,".1")</f>
        <v>10.1.0.1</v>
      </c>
      <c r="I32" s="14" t="str">
        <f>_xlfn.CONCAT("10.1.",M32,".",2^(32-G32)-1)</f>
        <v>10.1.0.31</v>
      </c>
      <c r="J32" s="14" t="str">
        <f>_xlfn.CONCAT(H32," - ","10.1.",M32,".",2^(32-G32)-2)</f>
        <v>10.1.0.1 - 10.1.0.30</v>
      </c>
      <c r="K32" s="14">
        <v>210</v>
      </c>
      <c r="L32" s="14" t="s">
        <v>39</v>
      </c>
      <c r="M32" s="14">
        <v>0</v>
      </c>
      <c r="N32" s="7"/>
      <c r="O32" s="7"/>
      <c r="P32" s="7"/>
      <c r="Q32" s="7"/>
      <c r="R32" s="7"/>
    </row>
    <row r="33" spans="1:18" x14ac:dyDescent="0.25">
      <c r="A33" s="14" t="s">
        <v>22</v>
      </c>
      <c r="B33" s="14" t="s">
        <v>10</v>
      </c>
      <c r="C33" s="14">
        <f t="shared" ref="C33:C44" si="9">2^(32-G33)-D33-2</f>
        <v>24</v>
      </c>
      <c r="D33" s="14">
        <v>6</v>
      </c>
      <c r="E33" s="14" t="str">
        <f t="shared" ref="E33:E52" si="10">_xlfn.CONCAT("10.","1.",M33,".0")</f>
        <v>10.1.1.0</v>
      </c>
      <c r="F33" s="14" t="str">
        <f t="shared" ref="F33:F52" si="11">_xlfn.CONCAT("255.255.255.",(255-2^(32-G33)+1))</f>
        <v>255.255.255.224</v>
      </c>
      <c r="G33" s="14">
        <v>27</v>
      </c>
      <c r="H33" s="14" t="str">
        <f t="shared" ref="H33:H52" si="12">_xlfn.CONCAT("10.","1.",M33,".1")</f>
        <v>10.1.1.1</v>
      </c>
      <c r="I33" s="14" t="str">
        <f t="shared" ref="I33:I52" si="13">_xlfn.CONCAT("10.1.",M33,".",2^(32-G33)-1)</f>
        <v>10.1.1.31</v>
      </c>
      <c r="J33" s="14" t="str">
        <f t="shared" ref="J33:J52" si="14">_xlfn.CONCAT(H33," - ","10.1.",M33,".",2^(32-G33)-2)</f>
        <v>10.1.1.1 - 10.1.1.30</v>
      </c>
      <c r="K33" s="14">
        <v>220</v>
      </c>
      <c r="L33" s="14" t="s">
        <v>39</v>
      </c>
      <c r="M33" s="14">
        <v>1</v>
      </c>
      <c r="N33" s="7"/>
      <c r="O33" s="7"/>
      <c r="P33" s="7"/>
      <c r="Q33" s="7"/>
      <c r="R33" s="7"/>
    </row>
    <row r="34" spans="1:18" x14ac:dyDescent="0.25">
      <c r="A34" s="14" t="s">
        <v>23</v>
      </c>
      <c r="B34" s="14" t="s">
        <v>5</v>
      </c>
      <c r="C34" s="14">
        <f t="shared" si="9"/>
        <v>10</v>
      </c>
      <c r="D34" s="14">
        <v>4</v>
      </c>
      <c r="E34" s="14" t="str">
        <f t="shared" si="10"/>
        <v>10.1.2.0</v>
      </c>
      <c r="F34" s="14" t="str">
        <f t="shared" si="11"/>
        <v>255.255.255.240</v>
      </c>
      <c r="G34" s="14">
        <v>28</v>
      </c>
      <c r="H34" s="14" t="str">
        <f t="shared" si="12"/>
        <v>10.1.2.1</v>
      </c>
      <c r="I34" s="14" t="str">
        <f t="shared" si="13"/>
        <v>10.1.2.15</v>
      </c>
      <c r="J34" s="14" t="str">
        <f t="shared" si="14"/>
        <v>10.1.2.1 - 10.1.2.14</v>
      </c>
      <c r="K34" s="14">
        <v>230</v>
      </c>
      <c r="L34" s="14" t="s">
        <v>39</v>
      </c>
      <c r="M34" s="14">
        <v>2</v>
      </c>
      <c r="N34" s="7"/>
      <c r="O34" s="7"/>
      <c r="P34" s="7"/>
      <c r="Q34" s="7"/>
      <c r="R34" s="7"/>
    </row>
    <row r="35" spans="1:18" x14ac:dyDescent="0.25">
      <c r="A35" s="14" t="s">
        <v>24</v>
      </c>
      <c r="B35" s="14" t="s">
        <v>11</v>
      </c>
      <c r="C35" s="14">
        <f t="shared" si="9"/>
        <v>16</v>
      </c>
      <c r="D35" s="14">
        <v>14</v>
      </c>
      <c r="E35" s="14" t="str">
        <f t="shared" si="10"/>
        <v>10.1.3.0</v>
      </c>
      <c r="F35" s="14" t="str">
        <f t="shared" si="11"/>
        <v>255.255.255.224</v>
      </c>
      <c r="G35" s="14">
        <v>27</v>
      </c>
      <c r="H35" s="14" t="str">
        <f t="shared" si="12"/>
        <v>10.1.3.1</v>
      </c>
      <c r="I35" s="14" t="str">
        <f t="shared" si="13"/>
        <v>10.1.3.31</v>
      </c>
      <c r="J35" s="14" t="str">
        <f t="shared" si="14"/>
        <v>10.1.3.1 - 10.1.3.30</v>
      </c>
      <c r="K35" s="14">
        <v>240</v>
      </c>
      <c r="L35" s="14" t="s">
        <v>39</v>
      </c>
      <c r="M35" s="14">
        <v>3</v>
      </c>
      <c r="N35" s="7"/>
      <c r="O35" s="7"/>
      <c r="P35" s="7"/>
      <c r="Q35" s="7"/>
      <c r="R35" s="7"/>
    </row>
    <row r="36" spans="1:18" x14ac:dyDescent="0.25">
      <c r="A36" s="14" t="s">
        <v>25</v>
      </c>
      <c r="B36" s="14" t="s">
        <v>18</v>
      </c>
      <c r="C36" s="14">
        <f t="shared" si="9"/>
        <v>110</v>
      </c>
      <c r="D36" s="14">
        <v>144</v>
      </c>
      <c r="E36" s="14" t="str">
        <f t="shared" si="10"/>
        <v>10.1.4.0</v>
      </c>
      <c r="F36" s="14" t="str">
        <f t="shared" si="11"/>
        <v>255.255.255.0</v>
      </c>
      <c r="G36" s="14">
        <v>24</v>
      </c>
      <c r="H36" s="14" t="str">
        <f t="shared" si="12"/>
        <v>10.1.4.1</v>
      </c>
      <c r="I36" s="14" t="str">
        <f t="shared" si="13"/>
        <v>10.1.4.255</v>
      </c>
      <c r="J36" s="14" t="str">
        <f t="shared" si="14"/>
        <v>10.1.4.1 - 10.1.4.254</v>
      </c>
      <c r="K36" s="14">
        <v>250</v>
      </c>
      <c r="L36" s="14" t="s">
        <v>39</v>
      </c>
      <c r="M36" s="14">
        <v>4</v>
      </c>
      <c r="N36" s="7"/>
      <c r="O36" s="7"/>
      <c r="P36" s="7"/>
      <c r="Q36" s="7"/>
      <c r="R36" s="7"/>
    </row>
    <row r="37" spans="1:18" x14ac:dyDescent="0.25">
      <c r="A37" s="14" t="s">
        <v>26</v>
      </c>
      <c r="B37" s="14" t="s">
        <v>12</v>
      </c>
      <c r="C37" s="14">
        <f t="shared" si="9"/>
        <v>20</v>
      </c>
      <c r="D37" s="14">
        <v>10</v>
      </c>
      <c r="E37" s="14" t="str">
        <f t="shared" si="10"/>
        <v>10.1.5.0</v>
      </c>
      <c r="F37" s="14" t="str">
        <f t="shared" si="11"/>
        <v>255.255.255.224</v>
      </c>
      <c r="G37" s="14">
        <v>27</v>
      </c>
      <c r="H37" s="14" t="str">
        <f t="shared" si="12"/>
        <v>10.1.5.1</v>
      </c>
      <c r="I37" s="14" t="str">
        <f t="shared" si="13"/>
        <v>10.1.5.31</v>
      </c>
      <c r="J37" s="14" t="str">
        <f t="shared" si="14"/>
        <v>10.1.5.1 - 10.1.5.30</v>
      </c>
      <c r="K37" s="14">
        <v>260</v>
      </c>
      <c r="L37" s="14" t="s">
        <v>39</v>
      </c>
      <c r="M37" s="14">
        <v>5</v>
      </c>
      <c r="N37" s="7"/>
      <c r="O37" s="7"/>
      <c r="P37" s="7"/>
      <c r="Q37" s="7"/>
      <c r="R37" s="7"/>
    </row>
    <row r="38" spans="1:18" x14ac:dyDescent="0.25">
      <c r="A38" s="14" t="s">
        <v>27</v>
      </c>
      <c r="B38" s="14" t="s">
        <v>13</v>
      </c>
      <c r="C38" s="14">
        <f t="shared" si="9"/>
        <v>10</v>
      </c>
      <c r="D38" s="14">
        <v>4</v>
      </c>
      <c r="E38" s="14" t="str">
        <f t="shared" si="10"/>
        <v>10.1.6.0</v>
      </c>
      <c r="F38" s="14" t="str">
        <f t="shared" si="11"/>
        <v>255.255.255.240</v>
      </c>
      <c r="G38" s="14">
        <v>28</v>
      </c>
      <c r="H38" s="14" t="str">
        <f t="shared" si="12"/>
        <v>10.1.6.1</v>
      </c>
      <c r="I38" s="14" t="str">
        <f t="shared" si="13"/>
        <v>10.1.6.15</v>
      </c>
      <c r="J38" s="14" t="str">
        <f t="shared" si="14"/>
        <v>10.1.6.1 - 10.1.6.14</v>
      </c>
      <c r="K38" s="14">
        <v>270</v>
      </c>
      <c r="L38" s="14" t="s">
        <v>39</v>
      </c>
      <c r="M38" s="14">
        <v>6</v>
      </c>
      <c r="N38" s="7"/>
      <c r="O38" s="7"/>
      <c r="P38" s="7"/>
      <c r="Q38" s="7"/>
      <c r="R38" s="7"/>
    </row>
    <row r="39" spans="1:18" x14ac:dyDescent="0.25">
      <c r="A39" s="14" t="s">
        <v>28</v>
      </c>
      <c r="B39" s="14" t="s">
        <v>14</v>
      </c>
      <c r="C39" s="14">
        <f t="shared" si="9"/>
        <v>22</v>
      </c>
      <c r="D39" s="14">
        <v>8</v>
      </c>
      <c r="E39" s="14" t="str">
        <f t="shared" si="10"/>
        <v>10.1.7.0</v>
      </c>
      <c r="F39" s="14" t="str">
        <f t="shared" si="11"/>
        <v>255.255.255.224</v>
      </c>
      <c r="G39" s="14">
        <v>27</v>
      </c>
      <c r="H39" s="14" t="str">
        <f t="shared" si="12"/>
        <v>10.1.7.1</v>
      </c>
      <c r="I39" s="14" t="str">
        <f t="shared" si="13"/>
        <v>10.1.7.31</v>
      </c>
      <c r="J39" s="14" t="str">
        <f t="shared" si="14"/>
        <v>10.1.7.1 - 10.1.7.30</v>
      </c>
      <c r="K39" s="14">
        <v>280</v>
      </c>
      <c r="L39" s="14" t="s">
        <v>39</v>
      </c>
      <c r="M39" s="14">
        <v>7</v>
      </c>
      <c r="N39" s="7"/>
      <c r="O39" s="7"/>
      <c r="P39" s="7"/>
      <c r="Q39" s="7"/>
      <c r="R39" s="7"/>
    </row>
    <row r="40" spans="1:18" x14ac:dyDescent="0.25">
      <c r="A40" s="14" t="s">
        <v>29</v>
      </c>
      <c r="B40" s="14" t="s">
        <v>15</v>
      </c>
      <c r="C40" s="14">
        <f t="shared" si="9"/>
        <v>24</v>
      </c>
      <c r="D40" s="14">
        <v>6</v>
      </c>
      <c r="E40" s="14" t="str">
        <f t="shared" si="10"/>
        <v>10.1.8.0</v>
      </c>
      <c r="F40" s="14" t="str">
        <f t="shared" si="11"/>
        <v>255.255.255.224</v>
      </c>
      <c r="G40" s="14">
        <v>27</v>
      </c>
      <c r="H40" s="14" t="str">
        <f t="shared" si="12"/>
        <v>10.1.8.1</v>
      </c>
      <c r="I40" s="14" t="str">
        <f t="shared" si="13"/>
        <v>10.1.8.31</v>
      </c>
      <c r="J40" s="14" t="str">
        <f t="shared" si="14"/>
        <v>10.1.8.1 - 10.1.8.30</v>
      </c>
      <c r="K40" s="14">
        <v>290</v>
      </c>
      <c r="L40" s="14" t="s">
        <v>39</v>
      </c>
      <c r="M40" s="14">
        <v>8</v>
      </c>
      <c r="N40" s="7"/>
      <c r="O40" s="7"/>
      <c r="P40" s="7"/>
      <c r="Q40" s="7"/>
      <c r="R40" s="7"/>
    </row>
    <row r="41" spans="1:18" x14ac:dyDescent="0.25">
      <c r="A41" s="14" t="s">
        <v>30</v>
      </c>
      <c r="B41" s="14" t="s">
        <v>6</v>
      </c>
      <c r="C41" s="14">
        <f t="shared" si="9"/>
        <v>10</v>
      </c>
      <c r="D41" s="14">
        <v>4</v>
      </c>
      <c r="E41" s="14" t="str">
        <f t="shared" si="10"/>
        <v>10.1.9.0</v>
      </c>
      <c r="F41" s="14" t="str">
        <f t="shared" si="11"/>
        <v>255.255.255.240</v>
      </c>
      <c r="G41" s="14">
        <v>28</v>
      </c>
      <c r="H41" s="14" t="str">
        <f t="shared" si="12"/>
        <v>10.1.9.1</v>
      </c>
      <c r="I41" s="14" t="str">
        <f t="shared" si="13"/>
        <v>10.1.9.15</v>
      </c>
      <c r="J41" s="14" t="str">
        <f t="shared" si="14"/>
        <v>10.1.9.1 - 10.1.9.14</v>
      </c>
      <c r="K41" s="14">
        <v>300</v>
      </c>
      <c r="L41" s="14" t="s">
        <v>39</v>
      </c>
      <c r="M41" s="14">
        <v>9</v>
      </c>
      <c r="N41" s="7"/>
      <c r="O41" s="7"/>
      <c r="P41" s="7"/>
      <c r="Q41" s="7"/>
      <c r="R41" s="7"/>
    </row>
    <row r="42" spans="1:18" x14ac:dyDescent="0.25">
      <c r="A42" s="14" t="s">
        <v>31</v>
      </c>
      <c r="B42" s="14" t="s">
        <v>16</v>
      </c>
      <c r="C42" s="14">
        <f t="shared" si="9"/>
        <v>20</v>
      </c>
      <c r="D42" s="14">
        <v>10</v>
      </c>
      <c r="E42" s="14" t="str">
        <f t="shared" si="10"/>
        <v>10.1.10.0</v>
      </c>
      <c r="F42" s="14" t="str">
        <f t="shared" si="11"/>
        <v>255.255.255.224</v>
      </c>
      <c r="G42" s="14">
        <v>27</v>
      </c>
      <c r="H42" s="14" t="str">
        <f t="shared" si="12"/>
        <v>10.1.10.1</v>
      </c>
      <c r="I42" s="14" t="str">
        <f t="shared" si="13"/>
        <v>10.1.10.31</v>
      </c>
      <c r="J42" s="14" t="str">
        <f t="shared" si="14"/>
        <v>10.1.10.1 - 10.1.10.30</v>
      </c>
      <c r="K42" s="14">
        <v>310</v>
      </c>
      <c r="L42" s="14" t="s">
        <v>39</v>
      </c>
      <c r="M42" s="14">
        <v>10</v>
      </c>
      <c r="N42" s="7"/>
      <c r="O42" s="7"/>
      <c r="P42" s="7"/>
      <c r="Q42" s="7"/>
      <c r="R42" s="7"/>
    </row>
    <row r="43" spans="1:18" x14ac:dyDescent="0.25">
      <c r="A43" s="14" t="s">
        <v>32</v>
      </c>
      <c r="B43" s="14" t="s">
        <v>17</v>
      </c>
      <c r="C43" s="14">
        <f t="shared" si="9"/>
        <v>10</v>
      </c>
      <c r="D43" s="14">
        <v>4</v>
      </c>
      <c r="E43" s="14" t="str">
        <f t="shared" si="10"/>
        <v>10.1.11.0</v>
      </c>
      <c r="F43" s="14" t="str">
        <f t="shared" si="11"/>
        <v>255.255.255.240</v>
      </c>
      <c r="G43" s="14">
        <v>28</v>
      </c>
      <c r="H43" s="14" t="str">
        <f t="shared" si="12"/>
        <v>10.1.11.1</v>
      </c>
      <c r="I43" s="14" t="str">
        <f t="shared" si="13"/>
        <v>10.1.11.15</v>
      </c>
      <c r="J43" s="14" t="str">
        <f t="shared" si="14"/>
        <v>10.1.11.1 - 10.1.11.14</v>
      </c>
      <c r="K43" s="14">
        <v>320</v>
      </c>
      <c r="L43" s="14" t="s">
        <v>39</v>
      </c>
      <c r="M43" s="14">
        <v>11</v>
      </c>
      <c r="N43" s="7"/>
      <c r="O43" s="7"/>
      <c r="P43" s="7"/>
      <c r="Q43" s="7"/>
      <c r="R43" s="7"/>
    </row>
    <row r="44" spans="1:18" x14ac:dyDescent="0.25">
      <c r="A44" s="14" t="s">
        <v>36</v>
      </c>
      <c r="B44" s="14" t="s">
        <v>35</v>
      </c>
      <c r="C44" s="14">
        <f t="shared" si="9"/>
        <v>8</v>
      </c>
      <c r="D44" s="14">
        <v>6</v>
      </c>
      <c r="E44" s="14" t="str">
        <f t="shared" si="10"/>
        <v>10.1.12.0</v>
      </c>
      <c r="F44" s="14" t="str">
        <f t="shared" si="11"/>
        <v>255.255.255.240</v>
      </c>
      <c r="G44" s="14">
        <v>28</v>
      </c>
      <c r="H44" s="14" t="str">
        <f t="shared" si="12"/>
        <v>10.1.12.1</v>
      </c>
      <c r="I44" s="14" t="str">
        <f t="shared" si="13"/>
        <v>10.1.12.15</v>
      </c>
      <c r="J44" s="14" t="str">
        <f t="shared" si="14"/>
        <v>10.1.12.1 - 10.1.12.14</v>
      </c>
      <c r="K44" s="9"/>
      <c r="L44" s="14" t="s">
        <v>40</v>
      </c>
      <c r="M44" s="14">
        <v>12</v>
      </c>
      <c r="N44" s="7"/>
      <c r="O44" s="7"/>
      <c r="P44" s="7"/>
      <c r="Q44" s="7"/>
      <c r="R44" s="7"/>
    </row>
    <row r="45" spans="1:18" x14ac:dyDescent="0.25">
      <c r="A45" s="14" t="s">
        <v>57</v>
      </c>
      <c r="B45" s="14" t="s">
        <v>56</v>
      </c>
      <c r="C45" s="12"/>
      <c r="D45" s="14">
        <v>254</v>
      </c>
      <c r="E45" s="14" t="str">
        <f t="shared" si="10"/>
        <v>10.1.13.0</v>
      </c>
      <c r="F45" s="14" t="str">
        <f t="shared" si="11"/>
        <v>255.255.255.0</v>
      </c>
      <c r="G45" s="14">
        <v>24</v>
      </c>
      <c r="H45" s="14" t="str">
        <f t="shared" si="12"/>
        <v>10.1.13.1</v>
      </c>
      <c r="I45" s="14" t="str">
        <f t="shared" si="13"/>
        <v>10.1.13.255</v>
      </c>
      <c r="J45" s="14" t="str">
        <f t="shared" si="14"/>
        <v>10.1.13.1 - 10.1.13.254</v>
      </c>
      <c r="K45" s="14">
        <v>330</v>
      </c>
      <c r="L45" s="14" t="s">
        <v>40</v>
      </c>
      <c r="M45" s="14">
        <v>13</v>
      </c>
    </row>
    <row r="46" spans="1:18" x14ac:dyDescent="0.25">
      <c r="A46" s="13" t="s">
        <v>65</v>
      </c>
      <c r="B46" s="13" t="s">
        <v>66</v>
      </c>
      <c r="C46" s="13">
        <f t="shared" ref="C46:C48" si="15">2^(32-G46)-D46-2</f>
        <v>3</v>
      </c>
      <c r="D46" s="13">
        <v>3</v>
      </c>
      <c r="E46" s="13" t="str">
        <f t="shared" si="10"/>
        <v>10.1.14.0</v>
      </c>
      <c r="F46" s="13" t="str">
        <f t="shared" si="11"/>
        <v>255.255.255.248</v>
      </c>
      <c r="G46" s="13">
        <v>29</v>
      </c>
      <c r="H46" s="13" t="str">
        <f t="shared" si="12"/>
        <v>10.1.14.1</v>
      </c>
      <c r="I46" s="13" t="str">
        <f t="shared" si="13"/>
        <v>10.1.14.7</v>
      </c>
      <c r="J46" s="13" t="str">
        <f t="shared" si="14"/>
        <v>10.1.14.1 - 10.1.14.6</v>
      </c>
      <c r="K46" s="17">
        <v>340</v>
      </c>
      <c r="L46" s="13" t="s">
        <v>40</v>
      </c>
      <c r="M46" s="13">
        <v>14</v>
      </c>
    </row>
    <row r="47" spans="1:18" x14ac:dyDescent="0.25">
      <c r="A47" s="13" t="s">
        <v>65</v>
      </c>
      <c r="B47" s="13" t="s">
        <v>67</v>
      </c>
      <c r="C47" s="13">
        <f t="shared" si="15"/>
        <v>3</v>
      </c>
      <c r="D47" s="13">
        <v>3</v>
      </c>
      <c r="E47" s="13" t="str">
        <f t="shared" si="10"/>
        <v>10.1.15.0</v>
      </c>
      <c r="F47" s="13" t="str">
        <f t="shared" si="11"/>
        <v>255.255.255.248</v>
      </c>
      <c r="G47" s="13">
        <v>29</v>
      </c>
      <c r="H47" s="13" t="str">
        <f t="shared" si="12"/>
        <v>10.1.15.1</v>
      </c>
      <c r="I47" s="13" t="str">
        <f t="shared" si="13"/>
        <v>10.1.15.7</v>
      </c>
      <c r="J47" s="13" t="str">
        <f t="shared" si="14"/>
        <v>10.1.15.1 - 10.1.15.6</v>
      </c>
      <c r="K47" s="17">
        <v>350</v>
      </c>
      <c r="L47" s="13" t="s">
        <v>40</v>
      </c>
      <c r="M47" s="13">
        <v>15</v>
      </c>
    </row>
    <row r="48" spans="1:18" x14ac:dyDescent="0.25">
      <c r="A48" s="13" t="s">
        <v>65</v>
      </c>
      <c r="B48" s="13" t="s">
        <v>68</v>
      </c>
      <c r="C48" s="13">
        <f t="shared" si="15"/>
        <v>3</v>
      </c>
      <c r="D48" s="13">
        <v>3</v>
      </c>
      <c r="E48" s="13" t="str">
        <f t="shared" si="10"/>
        <v>10.1.16.0</v>
      </c>
      <c r="F48" s="13" t="str">
        <f t="shared" si="11"/>
        <v>255.255.255.248</v>
      </c>
      <c r="G48" s="13">
        <v>29</v>
      </c>
      <c r="H48" s="13" t="str">
        <f t="shared" si="12"/>
        <v>10.1.16.1</v>
      </c>
      <c r="I48" s="13" t="str">
        <f t="shared" si="13"/>
        <v>10.1.16.7</v>
      </c>
      <c r="J48" s="13" t="str">
        <f t="shared" si="14"/>
        <v>10.1.16.1 - 10.1.16.6</v>
      </c>
      <c r="K48" s="17">
        <v>360</v>
      </c>
      <c r="L48" s="13" t="s">
        <v>40</v>
      </c>
      <c r="M48" s="13">
        <v>16</v>
      </c>
    </row>
    <row r="49" spans="1:13" x14ac:dyDescent="0.25">
      <c r="A49" s="11" t="s">
        <v>62</v>
      </c>
      <c r="B49" s="11" t="s">
        <v>62</v>
      </c>
      <c r="C49" s="12"/>
      <c r="D49" s="11">
        <v>254</v>
      </c>
      <c r="E49" s="11" t="str">
        <f t="shared" si="10"/>
        <v>10.1.17.0</v>
      </c>
      <c r="F49" s="11" t="str">
        <f t="shared" si="11"/>
        <v>255.255.255.0</v>
      </c>
      <c r="G49" s="11">
        <v>24</v>
      </c>
      <c r="H49" s="11" t="str">
        <f t="shared" si="12"/>
        <v>10.1.17.1</v>
      </c>
      <c r="I49" s="11" t="str">
        <f t="shared" si="13"/>
        <v>10.1.17.255</v>
      </c>
      <c r="J49" s="11" t="str">
        <f t="shared" si="14"/>
        <v>10.1.17.1 - 10.1.17.254</v>
      </c>
      <c r="K49" s="11">
        <v>370</v>
      </c>
      <c r="L49" s="11" t="s">
        <v>40</v>
      </c>
      <c r="M49" s="11">
        <v>17</v>
      </c>
    </row>
    <row r="50" spans="1:13" x14ac:dyDescent="0.25">
      <c r="A50" s="11" t="s">
        <v>62</v>
      </c>
      <c r="B50" s="11" t="s">
        <v>62</v>
      </c>
      <c r="C50" s="12"/>
      <c r="D50" s="11">
        <v>254</v>
      </c>
      <c r="E50" s="11" t="str">
        <f t="shared" si="10"/>
        <v>10.1.18.0</v>
      </c>
      <c r="F50" s="11" t="str">
        <f t="shared" si="11"/>
        <v>255.255.255.0</v>
      </c>
      <c r="G50" s="11">
        <v>24</v>
      </c>
      <c r="H50" s="11" t="str">
        <f t="shared" si="12"/>
        <v>10.1.18.1</v>
      </c>
      <c r="I50" s="11" t="str">
        <f t="shared" si="13"/>
        <v>10.1.18.255</v>
      </c>
      <c r="J50" s="11" t="str">
        <f t="shared" si="14"/>
        <v>10.1.18.1 - 10.1.18.254</v>
      </c>
      <c r="K50" s="11">
        <v>380</v>
      </c>
      <c r="L50" s="11" t="s">
        <v>40</v>
      </c>
      <c r="M50" s="11">
        <v>18</v>
      </c>
    </row>
    <row r="51" spans="1:13" x14ac:dyDescent="0.25">
      <c r="A51" s="11" t="s">
        <v>62</v>
      </c>
      <c r="B51" s="11" t="s">
        <v>62</v>
      </c>
      <c r="C51" s="12"/>
      <c r="D51" s="11">
        <v>254</v>
      </c>
      <c r="E51" s="11" t="str">
        <f t="shared" si="10"/>
        <v>10.1.19.0</v>
      </c>
      <c r="F51" s="11" t="str">
        <f t="shared" si="11"/>
        <v>255.255.255.0</v>
      </c>
      <c r="G51" s="11">
        <v>24</v>
      </c>
      <c r="H51" s="11" t="str">
        <f t="shared" si="12"/>
        <v>10.1.19.1</v>
      </c>
      <c r="I51" s="11" t="str">
        <f t="shared" si="13"/>
        <v>10.1.19.255</v>
      </c>
      <c r="J51" s="11" t="str">
        <f t="shared" si="14"/>
        <v>10.1.19.1 - 10.1.19.254</v>
      </c>
      <c r="K51" s="11">
        <v>390</v>
      </c>
      <c r="L51" s="11" t="s">
        <v>40</v>
      </c>
      <c r="M51" s="11">
        <v>19</v>
      </c>
    </row>
    <row r="52" spans="1:13" x14ac:dyDescent="0.25">
      <c r="A52" s="6" t="s">
        <v>64</v>
      </c>
      <c r="B52" s="6" t="s">
        <v>20</v>
      </c>
      <c r="C52" s="6">
        <f t="shared" ref="C52" si="16">2^(32-G52)-D52-2</f>
        <v>54</v>
      </c>
      <c r="D52" s="6">
        <v>200</v>
      </c>
      <c r="E52" s="6" t="str">
        <f t="shared" si="10"/>
        <v>10.1.254.0</v>
      </c>
      <c r="F52" s="6" t="str">
        <f t="shared" si="11"/>
        <v>255.255.255.0</v>
      </c>
      <c r="G52" s="6">
        <v>24</v>
      </c>
      <c r="H52" s="6" t="str">
        <f t="shared" si="12"/>
        <v>10.1.254.1</v>
      </c>
      <c r="I52" s="6" t="str">
        <f t="shared" si="13"/>
        <v>10.1.254.255</v>
      </c>
      <c r="J52" s="6" t="str">
        <f t="shared" si="14"/>
        <v>10.1.254.1 - 10.1.254.254</v>
      </c>
      <c r="K52" s="6">
        <v>99</v>
      </c>
      <c r="L52" s="6" t="s">
        <v>40</v>
      </c>
      <c r="M52" s="6">
        <v>254</v>
      </c>
    </row>
    <row r="54" spans="1:13" x14ac:dyDescent="0.25">
      <c r="B54" s="19" t="s">
        <v>73</v>
      </c>
      <c r="C54" s="19"/>
      <c r="D54" s="19"/>
      <c r="E54" s="19"/>
      <c r="F54" s="19"/>
      <c r="G54" s="19"/>
      <c r="H54" s="19"/>
    </row>
    <row r="56" spans="1:13" x14ac:dyDescent="0.25">
      <c r="A56" s="2" t="s">
        <v>21</v>
      </c>
      <c r="B56" s="2" t="s">
        <v>9</v>
      </c>
      <c r="C56" s="2" t="s">
        <v>55</v>
      </c>
      <c r="D56" s="2" t="s">
        <v>37</v>
      </c>
      <c r="E56" s="2" t="s">
        <v>7</v>
      </c>
      <c r="F56" s="2" t="s">
        <v>1</v>
      </c>
      <c r="G56" s="2" t="s">
        <v>8</v>
      </c>
      <c r="H56" s="2" t="s">
        <v>2</v>
      </c>
      <c r="I56" s="2" t="s">
        <v>0</v>
      </c>
      <c r="J56" s="2" t="s">
        <v>3</v>
      </c>
      <c r="K56" s="2" t="s">
        <v>34</v>
      </c>
      <c r="L56" s="2" t="s">
        <v>38</v>
      </c>
      <c r="M56" s="15" t="s">
        <v>71</v>
      </c>
    </row>
    <row r="57" spans="1:13" x14ac:dyDescent="0.25">
      <c r="A57" s="3"/>
      <c r="B57" s="5"/>
      <c r="C57" s="5"/>
      <c r="D57" s="5"/>
      <c r="E57" s="5"/>
      <c r="F57" s="5"/>
      <c r="G57" s="5"/>
      <c r="H57" s="5"/>
      <c r="I57" s="5"/>
      <c r="J57" s="5"/>
      <c r="K57" s="5"/>
      <c r="L57" s="4"/>
      <c r="M57" s="4"/>
    </row>
    <row r="58" spans="1:13" x14ac:dyDescent="0.25">
      <c r="A58" s="14" t="s">
        <v>29</v>
      </c>
      <c r="B58" s="14" t="s">
        <v>15</v>
      </c>
      <c r="C58" s="14">
        <f t="shared" ref="C58:C59" si="17">2^(32-G58)-D58-2</f>
        <v>20</v>
      </c>
      <c r="D58" s="14">
        <v>10</v>
      </c>
      <c r="E58" s="14" t="str">
        <f>_xlfn.CONCAT("10.","2.",M58,".0")</f>
        <v>10.2.1.0</v>
      </c>
      <c r="F58" s="14" t="str">
        <f>_xlfn.CONCAT("255.255.255.",(255-2^(32-G58)+1))</f>
        <v>255.255.255.224</v>
      </c>
      <c r="G58" s="14">
        <v>27</v>
      </c>
      <c r="H58" s="14" t="str">
        <f>_xlfn.CONCAT("10.","2.",M58,".1")</f>
        <v>10.2.1.1</v>
      </c>
      <c r="I58" s="14" t="str">
        <f>_xlfn.CONCAT("10.2.",M58,".",2^(32-G58)-1)</f>
        <v>10.2.1.31</v>
      </c>
      <c r="J58" s="14" t="str">
        <f>_xlfn.CONCAT(H58," - ","10.2.",M58,".",2^(32-G58)-2)</f>
        <v>10.2.1.1 - 10.2.1.30</v>
      </c>
      <c r="K58" s="14">
        <v>410</v>
      </c>
      <c r="L58" s="14" t="s">
        <v>39</v>
      </c>
      <c r="M58" s="14">
        <v>1</v>
      </c>
    </row>
    <row r="59" spans="1:13" x14ac:dyDescent="0.25">
      <c r="A59" s="14" t="s">
        <v>23</v>
      </c>
      <c r="B59" s="14" t="s">
        <v>19</v>
      </c>
      <c r="C59" s="14">
        <f t="shared" si="17"/>
        <v>25</v>
      </c>
      <c r="D59" s="14">
        <v>5</v>
      </c>
      <c r="E59" s="14" t="str">
        <f t="shared" ref="E59:E62" si="18">_xlfn.CONCAT("10.","2.",M59,".0")</f>
        <v>10.2.2.0</v>
      </c>
      <c r="F59" s="14" t="str">
        <f>_xlfn.CONCAT("255.255.255.",(255-2^(32-G59)+1))</f>
        <v>255.255.255.224</v>
      </c>
      <c r="G59" s="14">
        <v>27</v>
      </c>
      <c r="H59" s="14" t="str">
        <f t="shared" ref="H59:H62" si="19">_xlfn.CONCAT("10.","2.",M59,".1")</f>
        <v>10.2.2.1</v>
      </c>
      <c r="I59" s="14" t="str">
        <f t="shared" ref="I59:I62" si="20">_xlfn.CONCAT("10.2.",M59,".",2^(32-G59)-1)</f>
        <v>10.2.2.31</v>
      </c>
      <c r="J59" s="14" t="str">
        <f t="shared" ref="J59:J62" si="21">_xlfn.CONCAT(H59," - ","10.2.",M59,".",2^(32-G59)-2)</f>
        <v>10.2.2.1 - 10.2.2.30</v>
      </c>
      <c r="K59" s="14">
        <v>420</v>
      </c>
      <c r="L59" s="14" t="s">
        <v>39</v>
      </c>
      <c r="M59" s="14">
        <v>2</v>
      </c>
    </row>
    <row r="60" spans="1:13" x14ac:dyDescent="0.25">
      <c r="A60" s="13" t="s">
        <v>65</v>
      </c>
      <c r="B60" s="13" t="s">
        <v>69</v>
      </c>
      <c r="C60" s="13">
        <f t="shared" ref="C60" si="22">2^(32-G60)-D60-2</f>
        <v>1</v>
      </c>
      <c r="D60" s="13">
        <v>1</v>
      </c>
      <c r="E60" s="13" t="str">
        <f t="shared" si="18"/>
        <v>10.2.3.0</v>
      </c>
      <c r="F60" s="13" t="str">
        <f t="shared" ref="F60:F62" si="23">_xlfn.CONCAT("255.255.255.",(255-2^(32-G60)+1))</f>
        <v>255.255.255.252</v>
      </c>
      <c r="G60" s="13">
        <v>30</v>
      </c>
      <c r="H60" s="13" t="str">
        <f t="shared" si="19"/>
        <v>10.2.3.1</v>
      </c>
      <c r="I60" s="13" t="str">
        <f t="shared" si="20"/>
        <v>10.2.3.3</v>
      </c>
      <c r="J60" s="13" t="str">
        <f t="shared" si="21"/>
        <v>10.2.3.1 - 10.2.3.2</v>
      </c>
      <c r="K60" s="17">
        <v>430</v>
      </c>
      <c r="L60" s="13" t="s">
        <v>40</v>
      </c>
      <c r="M60" s="13">
        <v>3</v>
      </c>
    </row>
    <row r="61" spans="1:13" x14ac:dyDescent="0.25">
      <c r="A61" s="11" t="s">
        <v>62</v>
      </c>
      <c r="B61" s="11" t="s">
        <v>62</v>
      </c>
      <c r="C61" s="12"/>
      <c r="D61" s="11">
        <v>254</v>
      </c>
      <c r="E61" s="11" t="str">
        <f t="shared" si="18"/>
        <v>10.2.4.0</v>
      </c>
      <c r="F61" s="11" t="str">
        <f t="shared" si="23"/>
        <v>255.255.255.0</v>
      </c>
      <c r="G61" s="11">
        <v>24</v>
      </c>
      <c r="H61" s="11" t="str">
        <f t="shared" si="19"/>
        <v>10.2.4.1</v>
      </c>
      <c r="I61" s="11" t="str">
        <f t="shared" si="20"/>
        <v>10.2.4.255</v>
      </c>
      <c r="J61" s="11" t="str">
        <f t="shared" si="21"/>
        <v>10.2.4.1 - 10.2.4.254</v>
      </c>
      <c r="K61" s="11">
        <v>440</v>
      </c>
      <c r="L61" s="11" t="s">
        <v>40</v>
      </c>
      <c r="M61" s="11">
        <v>4</v>
      </c>
    </row>
    <row r="62" spans="1:13" x14ac:dyDescent="0.25">
      <c r="A62" s="11" t="s">
        <v>62</v>
      </c>
      <c r="B62" s="11" t="s">
        <v>62</v>
      </c>
      <c r="C62" s="12"/>
      <c r="D62" s="11">
        <v>254</v>
      </c>
      <c r="E62" s="11" t="str">
        <f t="shared" si="18"/>
        <v>10.2.5.0</v>
      </c>
      <c r="F62" s="11" t="str">
        <f t="shared" si="23"/>
        <v>255.255.255.0</v>
      </c>
      <c r="G62" s="11">
        <v>24</v>
      </c>
      <c r="H62" s="11" t="str">
        <f t="shared" si="19"/>
        <v>10.2.5.1</v>
      </c>
      <c r="I62" s="11" t="str">
        <f t="shared" si="20"/>
        <v>10.2.5.255</v>
      </c>
      <c r="J62" s="11" t="str">
        <f t="shared" si="21"/>
        <v>10.2.5.1 - 10.2.5.254</v>
      </c>
      <c r="K62" s="11">
        <v>450</v>
      </c>
      <c r="L62" s="11" t="s">
        <v>40</v>
      </c>
      <c r="M62" s="11">
        <v>5</v>
      </c>
    </row>
    <row r="63" spans="1:13" x14ac:dyDescent="0.25">
      <c r="M63" s="7"/>
    </row>
    <row r="64" spans="1:13" x14ac:dyDescent="0.25">
      <c r="B64" s="19" t="s">
        <v>74</v>
      </c>
      <c r="C64" s="19"/>
      <c r="D64" s="19"/>
      <c r="E64" s="19"/>
      <c r="F64" s="19"/>
      <c r="G64" s="19"/>
      <c r="H64" s="19"/>
      <c r="M64" s="7"/>
    </row>
    <row r="65" spans="1:13" x14ac:dyDescent="0.25">
      <c r="M65" s="7"/>
    </row>
    <row r="66" spans="1:13" x14ac:dyDescent="0.25">
      <c r="A66" s="2" t="s">
        <v>58</v>
      </c>
      <c r="B66" s="2" t="s">
        <v>9</v>
      </c>
      <c r="C66" s="2" t="s">
        <v>55</v>
      </c>
      <c r="D66" s="2" t="s">
        <v>37</v>
      </c>
      <c r="E66" s="2" t="s">
        <v>7</v>
      </c>
      <c r="F66" s="2" t="s">
        <v>1</v>
      </c>
      <c r="G66" s="2" t="s">
        <v>8</v>
      </c>
      <c r="H66" s="2" t="s">
        <v>2</v>
      </c>
      <c r="I66" s="2" t="s">
        <v>0</v>
      </c>
      <c r="J66" s="2" t="s">
        <v>3</v>
      </c>
      <c r="K66" s="2" t="s">
        <v>34</v>
      </c>
      <c r="L66" s="2" t="s">
        <v>38</v>
      </c>
      <c r="M66" s="15" t="s">
        <v>71</v>
      </c>
    </row>
    <row r="68" spans="1:13" x14ac:dyDescent="0.25">
      <c r="A68" s="16" t="s">
        <v>75</v>
      </c>
      <c r="B68" s="16" t="s">
        <v>76</v>
      </c>
      <c r="C68" s="16">
        <f>2^(32-G68)-D68-2</f>
        <v>4</v>
      </c>
      <c r="D68" s="16">
        <v>2</v>
      </c>
      <c r="E68" s="16" t="str">
        <f>_xlfn.CONCAT("10.","3.",M68,".0")</f>
        <v>10.3.0.0</v>
      </c>
      <c r="F68" s="16" t="str">
        <f>_xlfn.CONCAT("255.255.255.",(255-2^(32-G68)+1))</f>
        <v>255.255.255.248</v>
      </c>
      <c r="G68" s="16">
        <v>29</v>
      </c>
      <c r="H68" s="16" t="str">
        <f>_xlfn.CONCAT("10.","3.",M68,".1")</f>
        <v>10.3.0.1</v>
      </c>
      <c r="I68" s="16" t="str">
        <f>_xlfn.CONCAT("10.3.",M68,".",2^(32-G68)-1)</f>
        <v>10.3.0.7</v>
      </c>
      <c r="J68" s="16" t="str">
        <f>_xlfn.CONCAT(H68," - ","10.3.",M68,".",2^(32-G68)-2)</f>
        <v>10.3.0.1 - 10.3.0.6</v>
      </c>
      <c r="K68" s="12">
        <v>410</v>
      </c>
      <c r="L68" s="16" t="s">
        <v>40</v>
      </c>
      <c r="M68" s="16">
        <v>0</v>
      </c>
    </row>
    <row r="69" spans="1:13" x14ac:dyDescent="0.25">
      <c r="A69" s="16" t="s">
        <v>75</v>
      </c>
      <c r="B69" s="16" t="s">
        <v>77</v>
      </c>
      <c r="C69" s="16">
        <f>2^(32-G69)-D69-2</f>
        <v>4</v>
      </c>
      <c r="D69" s="16">
        <v>2</v>
      </c>
      <c r="E69" s="16" t="str">
        <f>_xlfn.CONCAT("10.","3.",M69,".0")</f>
        <v>10.3.1.0</v>
      </c>
      <c r="F69" s="16" t="str">
        <f>_xlfn.CONCAT("255.255.255.",(255-2^(32-G69)+1))</f>
        <v>255.255.255.248</v>
      </c>
      <c r="G69" s="16">
        <v>29</v>
      </c>
      <c r="H69" s="16" t="str">
        <f>_xlfn.CONCAT("10.","3.",M69,".1")</f>
        <v>10.3.1.1</v>
      </c>
      <c r="I69" s="16" t="str">
        <f>_xlfn.CONCAT("10.3.",M69,".",2^(32-G69)-1)</f>
        <v>10.3.1.7</v>
      </c>
      <c r="J69" s="16" t="str">
        <f>_xlfn.CONCAT(H69," - ","10.3.",M69,".",2^(32-G69)-2)</f>
        <v>10.3.1.1 - 10.3.1.6</v>
      </c>
      <c r="K69" s="12">
        <v>380</v>
      </c>
      <c r="L69" s="16" t="s">
        <v>40</v>
      </c>
      <c r="M69" s="16">
        <v>1</v>
      </c>
    </row>
    <row r="70" spans="1:13" x14ac:dyDescent="0.25">
      <c r="A70" s="16" t="s">
        <v>75</v>
      </c>
      <c r="B70" s="16" t="s">
        <v>78</v>
      </c>
      <c r="C70" s="16">
        <f>2^(32-G70)-D70-2</f>
        <v>4</v>
      </c>
      <c r="D70" s="16">
        <v>2</v>
      </c>
      <c r="E70" s="16" t="str">
        <f>_xlfn.CONCAT("10.","3.",M70,".0")</f>
        <v>10.3.2.0</v>
      </c>
      <c r="F70" s="16" t="str">
        <f>_xlfn.CONCAT("255.255.255.",(255-2^(32-G70)+1))</f>
        <v>255.255.255.248</v>
      </c>
      <c r="G70" s="16">
        <v>29</v>
      </c>
      <c r="H70" s="16" t="str">
        <f>_xlfn.CONCAT("10.","3.",M70,".1")</f>
        <v>10.3.2.1</v>
      </c>
      <c r="I70" s="16" t="str">
        <f>_xlfn.CONCAT("10.3.",M70,".",2^(32-G70)-1)</f>
        <v>10.3.2.7</v>
      </c>
      <c r="J70" s="16" t="str">
        <f>_xlfn.CONCAT(H70," - ","10.3.",M70,".",2^(32-G70)-2)</f>
        <v>10.3.2.1 - 10.3.2.6</v>
      </c>
      <c r="K70" s="12"/>
      <c r="L70" s="16" t="s">
        <v>40</v>
      </c>
      <c r="M70" s="16">
        <v>2</v>
      </c>
    </row>
    <row r="71" spans="1:13" x14ac:dyDescent="0.25">
      <c r="A71" s="16" t="s">
        <v>75</v>
      </c>
      <c r="B71" s="16" t="s">
        <v>79</v>
      </c>
      <c r="C71" s="16">
        <f>2^(32-G71)-D71-2</f>
        <v>4</v>
      </c>
      <c r="D71" s="16">
        <v>2</v>
      </c>
      <c r="E71" s="16" t="str">
        <f>_xlfn.CONCAT("10.","3.",M71,".0")</f>
        <v>10.3.3.0</v>
      </c>
      <c r="F71" s="16" t="str">
        <f>_xlfn.CONCAT("255.255.255.",(255-2^(32-G71)+1))</f>
        <v>255.255.255.248</v>
      </c>
      <c r="G71" s="16">
        <v>29</v>
      </c>
      <c r="H71" s="16" t="str">
        <f>_xlfn.CONCAT("10.","3.",M71,".1")</f>
        <v>10.3.3.1</v>
      </c>
      <c r="I71" s="16" t="str">
        <f>_xlfn.CONCAT("10.3.",M71,".",2^(32-G71)-1)</f>
        <v>10.3.3.7</v>
      </c>
      <c r="J71" s="16" t="str">
        <f>_xlfn.CONCAT(H71," - ","10.3.",M71,".",2^(32-G71)-2)</f>
        <v>10.3.3.1 - 10.3.3.6</v>
      </c>
      <c r="K71" s="12"/>
      <c r="L71" s="16" t="s">
        <v>40</v>
      </c>
      <c r="M71" s="16">
        <v>3</v>
      </c>
    </row>
    <row r="72" spans="1:13" x14ac:dyDescent="0.25">
      <c r="A72" s="14" t="s">
        <v>59</v>
      </c>
      <c r="B72" s="14" t="s">
        <v>41</v>
      </c>
      <c r="C72" s="14">
        <f t="shared" ref="C72:C85" si="24">2^(32-G72)-D72-2</f>
        <v>4</v>
      </c>
      <c r="D72" s="14">
        <v>2</v>
      </c>
      <c r="E72" s="14" t="str">
        <f>_xlfn.CONCAT("10.","3.",M72,".0")</f>
        <v>10.3.4.0</v>
      </c>
      <c r="F72" s="14" t="str">
        <f t="shared" ref="F72:F85" si="25">_xlfn.CONCAT("255.255.255.",(255-2^(32-G72)+1))</f>
        <v>255.255.255.248</v>
      </c>
      <c r="G72" s="14">
        <v>29</v>
      </c>
      <c r="H72" s="14" t="str">
        <f>_xlfn.CONCAT("10.","3.",M72,".1")</f>
        <v>10.3.4.1</v>
      </c>
      <c r="I72" s="14" t="str">
        <f>_xlfn.CONCAT("10.3.",M72,".",2^(32-G72)-1)</f>
        <v>10.3.4.7</v>
      </c>
      <c r="J72" s="14" t="str">
        <f>_xlfn.CONCAT(H72," - ","10.3.",M72,".",2^(32-G72)-2)</f>
        <v>10.3.4.1 - 10.3.4.6</v>
      </c>
      <c r="K72" s="12">
        <v>240</v>
      </c>
      <c r="L72" s="14" t="s">
        <v>40</v>
      </c>
      <c r="M72" s="14">
        <v>4</v>
      </c>
    </row>
    <row r="73" spans="1:13" x14ac:dyDescent="0.25">
      <c r="A73" s="14" t="s">
        <v>59</v>
      </c>
      <c r="B73" s="14" t="s">
        <v>45</v>
      </c>
      <c r="C73" s="14">
        <f t="shared" si="24"/>
        <v>4</v>
      </c>
      <c r="D73" s="14">
        <v>2</v>
      </c>
      <c r="E73" s="14" t="str">
        <f t="shared" ref="E73:E96" si="26">_xlfn.CONCAT("10.","3.",M73,".0")</f>
        <v>10.3.5.0</v>
      </c>
      <c r="F73" s="14" t="str">
        <f t="shared" si="25"/>
        <v>255.255.255.248</v>
      </c>
      <c r="G73" s="14">
        <v>29</v>
      </c>
      <c r="H73" s="14" t="str">
        <f t="shared" ref="H73:H96" si="27">_xlfn.CONCAT("10.","3.",M73,".1")</f>
        <v>10.3.5.1</v>
      </c>
      <c r="I73" s="14" t="str">
        <f t="shared" ref="I73:I96" si="28">_xlfn.CONCAT("10.3.",M73,".",2^(32-G73)-1)</f>
        <v>10.3.5.7</v>
      </c>
      <c r="J73" s="14" t="str">
        <f t="shared" ref="J73:J96" si="29">_xlfn.CONCAT(H73," - ","10.3.",M73,".",2^(32-G73)-2)</f>
        <v>10.3.5.1 - 10.3.5.6</v>
      </c>
      <c r="K73" s="12">
        <v>250</v>
      </c>
      <c r="L73" s="14" t="s">
        <v>40</v>
      </c>
      <c r="M73" s="14">
        <v>5</v>
      </c>
    </row>
    <row r="74" spans="1:13" x14ac:dyDescent="0.25">
      <c r="A74" s="14" t="s">
        <v>59</v>
      </c>
      <c r="B74" s="14" t="s">
        <v>46</v>
      </c>
      <c r="C74" s="14">
        <f t="shared" si="24"/>
        <v>4</v>
      </c>
      <c r="D74" s="14">
        <v>2</v>
      </c>
      <c r="E74" s="14" t="str">
        <f t="shared" si="26"/>
        <v>10.3.6.0</v>
      </c>
      <c r="F74" s="14" t="str">
        <f t="shared" si="25"/>
        <v>255.255.255.248</v>
      </c>
      <c r="G74" s="14">
        <v>29</v>
      </c>
      <c r="H74" s="14" t="str">
        <f t="shared" si="27"/>
        <v>10.3.6.1</v>
      </c>
      <c r="I74" s="14" t="str">
        <f t="shared" si="28"/>
        <v>10.3.6.7</v>
      </c>
      <c r="J74" s="14" t="str">
        <f t="shared" si="29"/>
        <v>10.3.6.1 - 10.3.6.6</v>
      </c>
      <c r="K74" s="12">
        <v>260</v>
      </c>
      <c r="L74" s="14" t="s">
        <v>40</v>
      </c>
      <c r="M74" s="14">
        <v>6</v>
      </c>
    </row>
    <row r="75" spans="1:13" x14ac:dyDescent="0.25">
      <c r="A75" s="14" t="s">
        <v>59</v>
      </c>
      <c r="B75" s="14" t="s">
        <v>47</v>
      </c>
      <c r="C75" s="14">
        <f t="shared" si="24"/>
        <v>4</v>
      </c>
      <c r="D75" s="14">
        <v>2</v>
      </c>
      <c r="E75" s="14" t="str">
        <f t="shared" si="26"/>
        <v>10.3.7.0</v>
      </c>
      <c r="F75" s="14" t="str">
        <f t="shared" si="25"/>
        <v>255.255.255.248</v>
      </c>
      <c r="G75" s="14">
        <v>29</v>
      </c>
      <c r="H75" s="14" t="str">
        <f t="shared" si="27"/>
        <v>10.3.7.1</v>
      </c>
      <c r="I75" s="14" t="str">
        <f t="shared" si="28"/>
        <v>10.3.7.7</v>
      </c>
      <c r="J75" s="14" t="str">
        <f t="shared" si="29"/>
        <v>10.3.7.1 - 10.3.7.6</v>
      </c>
      <c r="K75" s="12">
        <v>270</v>
      </c>
      <c r="L75" s="14" t="s">
        <v>40</v>
      </c>
      <c r="M75" s="14">
        <v>7</v>
      </c>
    </row>
    <row r="76" spans="1:13" x14ac:dyDescent="0.25">
      <c r="A76" s="14" t="s">
        <v>59</v>
      </c>
      <c r="B76" s="14" t="s">
        <v>48</v>
      </c>
      <c r="C76" s="14">
        <f t="shared" si="24"/>
        <v>4</v>
      </c>
      <c r="D76" s="14">
        <v>2</v>
      </c>
      <c r="E76" s="14" t="str">
        <f t="shared" si="26"/>
        <v>10.3.8.0</v>
      </c>
      <c r="F76" s="14" t="str">
        <f t="shared" si="25"/>
        <v>255.255.255.248</v>
      </c>
      <c r="G76" s="14">
        <v>29</v>
      </c>
      <c r="H76" s="14" t="str">
        <f t="shared" si="27"/>
        <v>10.3.8.1</v>
      </c>
      <c r="I76" s="14" t="str">
        <f t="shared" si="28"/>
        <v>10.3.8.7</v>
      </c>
      <c r="J76" s="14" t="str">
        <f t="shared" si="29"/>
        <v>10.3.8.1 - 10.3.8.6</v>
      </c>
      <c r="K76" s="12">
        <v>280</v>
      </c>
      <c r="L76" s="14" t="s">
        <v>40</v>
      </c>
      <c r="M76" s="14">
        <v>8</v>
      </c>
    </row>
    <row r="77" spans="1:13" x14ac:dyDescent="0.25">
      <c r="A77" s="14" t="s">
        <v>59</v>
      </c>
      <c r="B77" s="14" t="s">
        <v>51</v>
      </c>
      <c r="C77" s="14">
        <f t="shared" si="24"/>
        <v>4</v>
      </c>
      <c r="D77" s="14">
        <v>2</v>
      </c>
      <c r="E77" s="14" t="str">
        <f t="shared" si="26"/>
        <v>10.3.9.0</v>
      </c>
      <c r="F77" s="14" t="str">
        <f t="shared" si="25"/>
        <v>255.255.255.248</v>
      </c>
      <c r="G77" s="14">
        <v>29</v>
      </c>
      <c r="H77" s="14" t="str">
        <f t="shared" si="27"/>
        <v>10.3.9.1</v>
      </c>
      <c r="I77" s="14" t="str">
        <f t="shared" si="28"/>
        <v>10.3.9.7</v>
      </c>
      <c r="J77" s="14" t="str">
        <f t="shared" si="29"/>
        <v>10.3.9.1 - 10.3.9.6</v>
      </c>
      <c r="K77" s="12">
        <v>290</v>
      </c>
      <c r="L77" s="14" t="s">
        <v>40</v>
      </c>
      <c r="M77" s="14">
        <v>9</v>
      </c>
    </row>
    <row r="78" spans="1:13" x14ac:dyDescent="0.25">
      <c r="A78" s="14" t="s">
        <v>59</v>
      </c>
      <c r="B78" s="14" t="s">
        <v>52</v>
      </c>
      <c r="C78" s="14">
        <f t="shared" si="24"/>
        <v>4</v>
      </c>
      <c r="D78" s="14">
        <v>2</v>
      </c>
      <c r="E78" s="14" t="str">
        <f t="shared" si="26"/>
        <v>10.3.10.0</v>
      </c>
      <c r="F78" s="14" t="str">
        <f t="shared" si="25"/>
        <v>255.255.255.248</v>
      </c>
      <c r="G78" s="14">
        <v>29</v>
      </c>
      <c r="H78" s="14" t="str">
        <f t="shared" si="27"/>
        <v>10.3.10.1</v>
      </c>
      <c r="I78" s="14" t="str">
        <f t="shared" si="28"/>
        <v>10.3.10.7</v>
      </c>
      <c r="J78" s="14" t="str">
        <f t="shared" si="29"/>
        <v>10.3.10.1 - 10.3.10.6</v>
      </c>
      <c r="K78" s="12">
        <v>300</v>
      </c>
      <c r="L78" s="14" t="s">
        <v>40</v>
      </c>
      <c r="M78" s="14">
        <v>10</v>
      </c>
    </row>
    <row r="79" spans="1:13" x14ac:dyDescent="0.25">
      <c r="A79" s="14" t="s">
        <v>59</v>
      </c>
      <c r="B79" s="14" t="s">
        <v>49</v>
      </c>
      <c r="C79" s="14">
        <f t="shared" si="24"/>
        <v>4</v>
      </c>
      <c r="D79" s="14">
        <v>2</v>
      </c>
      <c r="E79" s="14" t="str">
        <f t="shared" si="26"/>
        <v>10.3.11.0</v>
      </c>
      <c r="F79" s="14" t="str">
        <f t="shared" si="25"/>
        <v>255.255.255.248</v>
      </c>
      <c r="G79" s="14">
        <v>29</v>
      </c>
      <c r="H79" s="14" t="str">
        <f t="shared" si="27"/>
        <v>10.3.11.1</v>
      </c>
      <c r="I79" s="14" t="str">
        <f t="shared" si="28"/>
        <v>10.3.11.7</v>
      </c>
      <c r="J79" s="14" t="str">
        <f t="shared" si="29"/>
        <v>10.3.11.1 - 10.3.11.6</v>
      </c>
      <c r="K79" s="12">
        <v>310</v>
      </c>
      <c r="L79" s="14" t="s">
        <v>40</v>
      </c>
      <c r="M79" s="14">
        <v>11</v>
      </c>
    </row>
    <row r="80" spans="1:13" x14ac:dyDescent="0.25">
      <c r="A80" s="14" t="s">
        <v>59</v>
      </c>
      <c r="B80" s="14" t="s">
        <v>50</v>
      </c>
      <c r="C80" s="14">
        <f t="shared" si="24"/>
        <v>4</v>
      </c>
      <c r="D80" s="14">
        <v>2</v>
      </c>
      <c r="E80" s="14" t="str">
        <f t="shared" si="26"/>
        <v>10.3.12.0</v>
      </c>
      <c r="F80" s="14" t="str">
        <f t="shared" si="25"/>
        <v>255.255.255.248</v>
      </c>
      <c r="G80" s="14">
        <v>29</v>
      </c>
      <c r="H80" s="14" t="str">
        <f t="shared" si="27"/>
        <v>10.3.12.1</v>
      </c>
      <c r="I80" s="14" t="str">
        <f t="shared" si="28"/>
        <v>10.3.12.7</v>
      </c>
      <c r="J80" s="14" t="str">
        <f t="shared" si="29"/>
        <v>10.3.12.1 - 10.3.12.6</v>
      </c>
      <c r="K80" s="12">
        <v>320</v>
      </c>
      <c r="L80" s="14" t="s">
        <v>40</v>
      </c>
      <c r="M80" s="14">
        <v>12</v>
      </c>
    </row>
    <row r="81" spans="1:13" x14ac:dyDescent="0.25">
      <c r="A81" s="14" t="s">
        <v>59</v>
      </c>
      <c r="B81" s="14" t="s">
        <v>42</v>
      </c>
      <c r="C81" s="14">
        <f t="shared" si="24"/>
        <v>4</v>
      </c>
      <c r="D81" s="14">
        <v>2</v>
      </c>
      <c r="E81" s="14" t="str">
        <f t="shared" si="26"/>
        <v>10.3.13.0</v>
      </c>
      <c r="F81" s="14" t="str">
        <f t="shared" si="25"/>
        <v>255.255.255.248</v>
      </c>
      <c r="G81" s="14">
        <v>29</v>
      </c>
      <c r="H81" s="14" t="str">
        <f t="shared" si="27"/>
        <v>10.3.13.1</v>
      </c>
      <c r="I81" s="14" t="str">
        <f t="shared" si="28"/>
        <v>10.3.13.7</v>
      </c>
      <c r="J81" s="14" t="str">
        <f t="shared" si="29"/>
        <v>10.3.13.1 - 10.3.13.6</v>
      </c>
      <c r="K81" s="12">
        <v>330</v>
      </c>
      <c r="L81" s="14" t="s">
        <v>40</v>
      </c>
      <c r="M81" s="14">
        <v>13</v>
      </c>
    </row>
    <row r="82" spans="1:13" x14ac:dyDescent="0.25">
      <c r="A82" s="14" t="s">
        <v>59</v>
      </c>
      <c r="B82" s="14" t="s">
        <v>53</v>
      </c>
      <c r="C82" s="14">
        <f t="shared" si="24"/>
        <v>4</v>
      </c>
      <c r="D82" s="14">
        <v>2</v>
      </c>
      <c r="E82" s="14" t="str">
        <f t="shared" si="26"/>
        <v>10.3.14.0</v>
      </c>
      <c r="F82" s="14" t="str">
        <f t="shared" si="25"/>
        <v>255.255.255.248</v>
      </c>
      <c r="G82" s="14">
        <v>29</v>
      </c>
      <c r="H82" s="14" t="str">
        <f t="shared" si="27"/>
        <v>10.3.14.1</v>
      </c>
      <c r="I82" s="14" t="str">
        <f t="shared" si="28"/>
        <v>10.3.14.7</v>
      </c>
      <c r="J82" s="14" t="str">
        <f t="shared" si="29"/>
        <v>10.3.14.1 - 10.3.14.6</v>
      </c>
      <c r="K82" s="12">
        <v>340</v>
      </c>
      <c r="L82" s="14" t="s">
        <v>40</v>
      </c>
      <c r="M82" s="14">
        <v>14</v>
      </c>
    </row>
    <row r="83" spans="1:13" x14ac:dyDescent="0.25">
      <c r="A83" s="14" t="s">
        <v>59</v>
      </c>
      <c r="B83" s="14" t="s">
        <v>61</v>
      </c>
      <c r="C83" s="14">
        <f t="shared" si="24"/>
        <v>4</v>
      </c>
      <c r="D83" s="14">
        <v>2</v>
      </c>
      <c r="E83" s="14" t="str">
        <f t="shared" si="26"/>
        <v>10.3.15.0</v>
      </c>
      <c r="F83" s="14" t="str">
        <f t="shared" si="25"/>
        <v>255.255.255.248</v>
      </c>
      <c r="G83" s="14">
        <v>29</v>
      </c>
      <c r="H83" s="14" t="str">
        <f t="shared" si="27"/>
        <v>10.3.15.1</v>
      </c>
      <c r="I83" s="14" t="str">
        <f t="shared" si="28"/>
        <v>10.3.15.7</v>
      </c>
      <c r="J83" s="14" t="str">
        <f t="shared" si="29"/>
        <v>10.3.15.1 - 10.3.15.6</v>
      </c>
      <c r="K83" s="12">
        <v>350</v>
      </c>
      <c r="L83" s="14" t="s">
        <v>40</v>
      </c>
      <c r="M83" s="14">
        <v>15</v>
      </c>
    </row>
    <row r="84" spans="1:13" x14ac:dyDescent="0.25">
      <c r="A84" s="14" t="s">
        <v>59</v>
      </c>
      <c r="B84" s="14" t="s">
        <v>43</v>
      </c>
      <c r="C84" s="14">
        <f t="shared" si="24"/>
        <v>4</v>
      </c>
      <c r="D84" s="14">
        <v>2</v>
      </c>
      <c r="E84" s="14" t="str">
        <f t="shared" si="26"/>
        <v>10.3.16.0</v>
      </c>
      <c r="F84" s="14" t="str">
        <f t="shared" si="25"/>
        <v>255.255.255.248</v>
      </c>
      <c r="G84" s="14">
        <v>29</v>
      </c>
      <c r="H84" s="14" t="str">
        <f t="shared" si="27"/>
        <v>10.3.16.1</v>
      </c>
      <c r="I84" s="14" t="str">
        <f t="shared" si="28"/>
        <v>10.3.16.7</v>
      </c>
      <c r="J84" s="14" t="str">
        <f t="shared" si="29"/>
        <v>10.3.16.1 - 10.3.16.6</v>
      </c>
      <c r="K84" s="12">
        <v>360</v>
      </c>
      <c r="L84" s="14" t="s">
        <v>40</v>
      </c>
      <c r="M84" s="14">
        <v>16</v>
      </c>
    </row>
    <row r="85" spans="1:13" x14ac:dyDescent="0.25">
      <c r="A85" s="14" t="s">
        <v>59</v>
      </c>
      <c r="B85" s="14" t="s">
        <v>44</v>
      </c>
      <c r="C85" s="14">
        <f t="shared" si="24"/>
        <v>4</v>
      </c>
      <c r="D85" s="14">
        <v>2</v>
      </c>
      <c r="E85" s="14" t="str">
        <f t="shared" si="26"/>
        <v>10.3.17.0</v>
      </c>
      <c r="F85" s="14" t="str">
        <f t="shared" si="25"/>
        <v>255.255.255.248</v>
      </c>
      <c r="G85" s="14">
        <v>29</v>
      </c>
      <c r="H85" s="14" t="str">
        <f t="shared" si="27"/>
        <v>10.3.17.1</v>
      </c>
      <c r="I85" s="14" t="str">
        <f t="shared" si="28"/>
        <v>10.3.17.7</v>
      </c>
      <c r="J85" s="14" t="str">
        <f t="shared" si="29"/>
        <v>10.3.17.1 - 10.3.17.6</v>
      </c>
      <c r="K85" s="12">
        <v>370</v>
      </c>
      <c r="L85" s="14" t="s">
        <v>40</v>
      </c>
      <c r="M85" s="14">
        <v>17</v>
      </c>
    </row>
    <row r="86" spans="1:13" x14ac:dyDescent="0.25">
      <c r="A86" s="6" t="s">
        <v>60</v>
      </c>
      <c r="B86" s="18" t="s">
        <v>80</v>
      </c>
      <c r="C86" s="18">
        <f t="shared" ref="C86" si="30">2^(32-G86)-D86-2</f>
        <v>6</v>
      </c>
      <c r="D86" s="18">
        <v>8</v>
      </c>
      <c r="E86" s="18" t="str">
        <f t="shared" si="26"/>
        <v>10.3.18.0</v>
      </c>
      <c r="F86" s="18" t="str">
        <f t="shared" ref="F86" si="31">_xlfn.CONCAT("255.255.255.",(255-2^(32-G86)+1))</f>
        <v>255.255.255.240</v>
      </c>
      <c r="G86" s="18">
        <v>28</v>
      </c>
      <c r="H86" s="18" t="str">
        <f t="shared" si="27"/>
        <v>10.3.18.1</v>
      </c>
      <c r="I86" s="18" t="str">
        <f t="shared" si="28"/>
        <v>10.3.18.15</v>
      </c>
      <c r="J86" s="18" t="str">
        <f t="shared" si="29"/>
        <v>10.3.18.1 - 10.3.18.14</v>
      </c>
      <c r="K86" s="18">
        <v>510</v>
      </c>
      <c r="L86" s="18" t="s">
        <v>40</v>
      </c>
      <c r="M86" s="18">
        <v>18</v>
      </c>
    </row>
    <row r="87" spans="1:13" x14ac:dyDescent="0.25">
      <c r="A87" s="11" t="s">
        <v>62</v>
      </c>
      <c r="B87" s="11" t="s">
        <v>63</v>
      </c>
      <c r="C87" s="11">
        <f t="shared" ref="C87:C96" si="32">2^(32-G87)-D87-2</f>
        <v>26</v>
      </c>
      <c r="D87" s="11">
        <v>4</v>
      </c>
      <c r="E87" s="11" t="str">
        <f t="shared" si="26"/>
        <v>10.3.29.0</v>
      </c>
      <c r="F87" s="11" t="str">
        <f t="shared" ref="F87:F96" si="33">_xlfn.CONCAT("255.255.255.",(255-2^(32-G87)+1))</f>
        <v>255.255.255.224</v>
      </c>
      <c r="G87" s="11">
        <v>27</v>
      </c>
      <c r="H87" s="11" t="str">
        <f t="shared" si="27"/>
        <v>10.3.29.1</v>
      </c>
      <c r="I87" s="11" t="str">
        <f t="shared" si="28"/>
        <v>10.3.29.31</v>
      </c>
      <c r="J87" s="11" t="str">
        <f t="shared" si="29"/>
        <v>10.3.29.1 - 10.3.29.30</v>
      </c>
      <c r="K87" s="12"/>
      <c r="L87" s="11" t="s">
        <v>40</v>
      </c>
      <c r="M87" s="11">
        <v>29</v>
      </c>
    </row>
    <row r="88" spans="1:13" x14ac:dyDescent="0.25">
      <c r="A88" s="11" t="s">
        <v>62</v>
      </c>
      <c r="B88" s="11" t="s">
        <v>63</v>
      </c>
      <c r="C88" s="11">
        <f t="shared" si="32"/>
        <v>26</v>
      </c>
      <c r="D88" s="11">
        <v>4</v>
      </c>
      <c r="E88" s="11" t="str">
        <f t="shared" si="26"/>
        <v>10.3.30.0</v>
      </c>
      <c r="F88" s="11" t="str">
        <f t="shared" si="33"/>
        <v>255.255.255.224</v>
      </c>
      <c r="G88" s="11">
        <v>27</v>
      </c>
      <c r="H88" s="11" t="str">
        <f t="shared" si="27"/>
        <v>10.3.30.1</v>
      </c>
      <c r="I88" s="11" t="str">
        <f t="shared" si="28"/>
        <v>10.3.30.31</v>
      </c>
      <c r="J88" s="11" t="str">
        <f t="shared" si="29"/>
        <v>10.3.30.1 - 10.3.30.30</v>
      </c>
      <c r="K88" s="12"/>
      <c r="L88" s="11" t="s">
        <v>40</v>
      </c>
      <c r="M88" s="11">
        <v>30</v>
      </c>
    </row>
    <row r="89" spans="1:13" x14ac:dyDescent="0.25">
      <c r="A89" s="11" t="s">
        <v>62</v>
      </c>
      <c r="B89" s="11" t="s">
        <v>63</v>
      </c>
      <c r="C89" s="11">
        <f t="shared" si="32"/>
        <v>26</v>
      </c>
      <c r="D89" s="11">
        <v>4</v>
      </c>
      <c r="E89" s="11" t="str">
        <f t="shared" si="26"/>
        <v>10.3.31.0</v>
      </c>
      <c r="F89" s="11" t="str">
        <f t="shared" si="33"/>
        <v>255.255.255.224</v>
      </c>
      <c r="G89" s="11">
        <v>27</v>
      </c>
      <c r="H89" s="11" t="str">
        <f t="shared" si="27"/>
        <v>10.3.31.1</v>
      </c>
      <c r="I89" s="11" t="str">
        <f t="shared" si="28"/>
        <v>10.3.31.31</v>
      </c>
      <c r="J89" s="11" t="str">
        <f t="shared" si="29"/>
        <v>10.3.31.1 - 10.3.31.30</v>
      </c>
      <c r="K89" s="12"/>
      <c r="L89" s="11" t="s">
        <v>40</v>
      </c>
      <c r="M89" s="11">
        <v>31</v>
      </c>
    </row>
    <row r="90" spans="1:13" x14ac:dyDescent="0.25">
      <c r="A90" s="11" t="s">
        <v>62</v>
      </c>
      <c r="B90" s="11" t="s">
        <v>63</v>
      </c>
      <c r="C90" s="11">
        <f t="shared" si="32"/>
        <v>26</v>
      </c>
      <c r="D90" s="11">
        <v>4</v>
      </c>
      <c r="E90" s="11" t="str">
        <f t="shared" si="26"/>
        <v>10.3.32.0</v>
      </c>
      <c r="F90" s="11" t="str">
        <f t="shared" si="33"/>
        <v>255.255.255.224</v>
      </c>
      <c r="G90" s="11">
        <v>27</v>
      </c>
      <c r="H90" s="11" t="str">
        <f t="shared" si="27"/>
        <v>10.3.32.1</v>
      </c>
      <c r="I90" s="11" t="str">
        <f t="shared" si="28"/>
        <v>10.3.32.31</v>
      </c>
      <c r="J90" s="11" t="str">
        <f t="shared" si="29"/>
        <v>10.3.32.1 - 10.3.32.30</v>
      </c>
      <c r="K90" s="12"/>
      <c r="L90" s="11" t="s">
        <v>40</v>
      </c>
      <c r="M90" s="11">
        <v>32</v>
      </c>
    </row>
    <row r="91" spans="1:13" x14ac:dyDescent="0.25">
      <c r="A91" s="11" t="s">
        <v>62</v>
      </c>
      <c r="B91" s="11" t="s">
        <v>63</v>
      </c>
      <c r="C91" s="11">
        <f t="shared" si="32"/>
        <v>26</v>
      </c>
      <c r="D91" s="11">
        <v>4</v>
      </c>
      <c r="E91" s="11" t="str">
        <f t="shared" si="26"/>
        <v>10.3.33.0</v>
      </c>
      <c r="F91" s="11" t="str">
        <f t="shared" si="33"/>
        <v>255.255.255.224</v>
      </c>
      <c r="G91" s="11">
        <v>27</v>
      </c>
      <c r="H91" s="11" t="str">
        <f t="shared" si="27"/>
        <v>10.3.33.1</v>
      </c>
      <c r="I91" s="11" t="str">
        <f t="shared" si="28"/>
        <v>10.3.33.31</v>
      </c>
      <c r="J91" s="11" t="str">
        <f t="shared" si="29"/>
        <v>10.3.33.1 - 10.3.33.30</v>
      </c>
      <c r="K91" s="12"/>
      <c r="L91" s="11" t="s">
        <v>40</v>
      </c>
      <c r="M91" s="11">
        <v>33</v>
      </c>
    </row>
    <row r="92" spans="1:13" x14ac:dyDescent="0.25">
      <c r="A92" s="11" t="s">
        <v>62</v>
      </c>
      <c r="B92" s="11" t="s">
        <v>63</v>
      </c>
      <c r="C92" s="11">
        <f t="shared" si="32"/>
        <v>26</v>
      </c>
      <c r="D92" s="11">
        <v>4</v>
      </c>
      <c r="E92" s="11" t="str">
        <f t="shared" si="26"/>
        <v>10.3.34.0</v>
      </c>
      <c r="F92" s="11" t="str">
        <f t="shared" si="33"/>
        <v>255.255.255.224</v>
      </c>
      <c r="G92" s="11">
        <v>27</v>
      </c>
      <c r="H92" s="11" t="str">
        <f t="shared" si="27"/>
        <v>10.3.34.1</v>
      </c>
      <c r="I92" s="11" t="str">
        <f t="shared" si="28"/>
        <v>10.3.34.31</v>
      </c>
      <c r="J92" s="11" t="str">
        <f t="shared" si="29"/>
        <v>10.3.34.1 - 10.3.34.30</v>
      </c>
      <c r="K92" s="12"/>
      <c r="L92" s="11" t="s">
        <v>40</v>
      </c>
      <c r="M92" s="11">
        <v>34</v>
      </c>
    </row>
    <row r="93" spans="1:13" x14ac:dyDescent="0.25">
      <c r="A93" s="11" t="s">
        <v>62</v>
      </c>
      <c r="B93" s="11" t="s">
        <v>63</v>
      </c>
      <c r="C93" s="11">
        <f t="shared" si="32"/>
        <v>26</v>
      </c>
      <c r="D93" s="11">
        <v>4</v>
      </c>
      <c r="E93" s="11" t="str">
        <f t="shared" si="26"/>
        <v>10.3.35.0</v>
      </c>
      <c r="F93" s="11" t="str">
        <f t="shared" si="33"/>
        <v>255.255.255.224</v>
      </c>
      <c r="G93" s="11">
        <v>27</v>
      </c>
      <c r="H93" s="11" t="str">
        <f t="shared" si="27"/>
        <v>10.3.35.1</v>
      </c>
      <c r="I93" s="11" t="str">
        <f t="shared" si="28"/>
        <v>10.3.35.31</v>
      </c>
      <c r="J93" s="11" t="str">
        <f t="shared" si="29"/>
        <v>10.3.35.1 - 10.3.35.30</v>
      </c>
      <c r="K93" s="12"/>
      <c r="L93" s="11" t="s">
        <v>40</v>
      </c>
      <c r="M93" s="11">
        <v>35</v>
      </c>
    </row>
    <row r="94" spans="1:13" x14ac:dyDescent="0.25">
      <c r="A94" s="11" t="s">
        <v>62</v>
      </c>
      <c r="B94" s="11" t="s">
        <v>63</v>
      </c>
      <c r="C94" s="11">
        <f t="shared" si="32"/>
        <v>26</v>
      </c>
      <c r="D94" s="11">
        <v>4</v>
      </c>
      <c r="E94" s="11" t="str">
        <f t="shared" si="26"/>
        <v>10.3.36.0</v>
      </c>
      <c r="F94" s="11" t="str">
        <f t="shared" si="33"/>
        <v>255.255.255.224</v>
      </c>
      <c r="G94" s="11">
        <v>27</v>
      </c>
      <c r="H94" s="11" t="str">
        <f t="shared" si="27"/>
        <v>10.3.36.1</v>
      </c>
      <c r="I94" s="11" t="str">
        <f t="shared" si="28"/>
        <v>10.3.36.31</v>
      </c>
      <c r="J94" s="11" t="str">
        <f t="shared" si="29"/>
        <v>10.3.36.1 - 10.3.36.30</v>
      </c>
      <c r="K94" s="12"/>
      <c r="L94" s="11" t="s">
        <v>40</v>
      </c>
      <c r="M94" s="11">
        <v>36</v>
      </c>
    </row>
    <row r="95" spans="1:13" x14ac:dyDescent="0.25">
      <c r="A95" s="11" t="s">
        <v>62</v>
      </c>
      <c r="B95" s="11" t="s">
        <v>63</v>
      </c>
      <c r="C95" s="11">
        <f t="shared" si="32"/>
        <v>26</v>
      </c>
      <c r="D95" s="11">
        <v>4</v>
      </c>
      <c r="E95" s="11" t="str">
        <f t="shared" si="26"/>
        <v>10.3.37.0</v>
      </c>
      <c r="F95" s="11" t="str">
        <f t="shared" si="33"/>
        <v>255.255.255.224</v>
      </c>
      <c r="G95" s="11">
        <v>27</v>
      </c>
      <c r="H95" s="11" t="str">
        <f t="shared" si="27"/>
        <v>10.3.37.1</v>
      </c>
      <c r="I95" s="11" t="str">
        <f t="shared" si="28"/>
        <v>10.3.37.31</v>
      </c>
      <c r="J95" s="11" t="str">
        <f t="shared" si="29"/>
        <v>10.3.37.1 - 10.3.37.30</v>
      </c>
      <c r="K95" s="12"/>
      <c r="L95" s="11" t="s">
        <v>40</v>
      </c>
      <c r="M95" s="11">
        <v>37</v>
      </c>
    </row>
    <row r="96" spans="1:13" x14ac:dyDescent="0.25">
      <c r="A96" s="11" t="s">
        <v>62</v>
      </c>
      <c r="B96" s="11" t="s">
        <v>63</v>
      </c>
      <c r="C96" s="11">
        <f t="shared" si="32"/>
        <v>26</v>
      </c>
      <c r="D96" s="11">
        <v>4</v>
      </c>
      <c r="E96" s="11" t="str">
        <f t="shared" si="26"/>
        <v>10.3.38.0</v>
      </c>
      <c r="F96" s="11" t="str">
        <f t="shared" si="33"/>
        <v>255.255.255.224</v>
      </c>
      <c r="G96" s="11">
        <v>27</v>
      </c>
      <c r="H96" s="11" t="str">
        <f t="shared" si="27"/>
        <v>10.3.38.1</v>
      </c>
      <c r="I96" s="11" t="str">
        <f t="shared" si="28"/>
        <v>10.3.38.31</v>
      </c>
      <c r="J96" s="11" t="str">
        <f t="shared" si="29"/>
        <v>10.3.38.1 - 10.3.38.30</v>
      </c>
      <c r="K96" s="12"/>
      <c r="L96" s="11" t="s">
        <v>40</v>
      </c>
      <c r="M96" s="11">
        <v>38</v>
      </c>
    </row>
    <row r="97" spans="1:11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</sheetData>
  <mergeCells count="4">
    <mergeCell ref="B28:H28"/>
    <mergeCell ref="B2:H2"/>
    <mergeCell ref="B54:H54"/>
    <mergeCell ref="B64:H64"/>
  </mergeCells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Tanguy Lhinares</dc:creator>
  <cp:lastModifiedBy>Tanguy Lhinares</cp:lastModifiedBy>
  <dcterms:created xsi:type="dcterms:W3CDTF">2015-06-05T18:19:34Z</dcterms:created>
  <dcterms:modified xsi:type="dcterms:W3CDTF">2020-03-22T14:26:22Z</dcterms:modified>
</cp:coreProperties>
</file>